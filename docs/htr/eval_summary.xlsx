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ugenia/Desktop/thesis/magic_tagger/docs/htr/"/>
    </mc:Choice>
  </mc:AlternateContent>
  <xr:revisionPtr revIDLastSave="0" documentId="13_ncr:1_{63ECD849-508C-1B47-ACF3-8BE9050A9156}" xr6:coauthVersionLast="47" xr6:coauthVersionMax="47" xr10:uidLastSave="{00000000-0000-0000-0000-000000000000}"/>
  <bookViews>
    <workbookView xWindow="0" yWindow="680" windowWidth="14720" windowHeight="18440" xr2:uid="{41207BBE-5058-AE4D-AFB8-AA866F34ACE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/>
  <c r="I2" i="2"/>
  <c r="I3" i="2"/>
  <c r="H3" i="2"/>
  <c r="J2" i="2"/>
  <c r="H2" i="2"/>
</calcChain>
</file>

<file path=xl/sharedStrings.xml><?xml version="1.0" encoding="utf-8"?>
<sst xmlns="http://schemas.openxmlformats.org/spreadsheetml/2006/main" count="103" uniqueCount="65">
  <si>
    <t>handwriting_id</t>
  </si>
  <si>
    <t>tale_id</t>
  </si>
  <si>
    <t>page_id</t>
  </si>
  <si>
    <t>lines_count</t>
  </si>
  <si>
    <t>lines_selected</t>
  </si>
  <si>
    <t>CER_transkrib</t>
  </si>
  <si>
    <t>WER_transkrib</t>
  </si>
  <si>
    <t>CER_transkrib_average</t>
  </si>
  <si>
    <t>WER_transkrib_average</t>
  </si>
  <si>
    <t>CER_transkrib_median</t>
  </si>
  <si>
    <t>WER_transkrib_median</t>
  </si>
  <si>
    <t>H01</t>
  </si>
  <si>
    <t>era_vene_2_605_4</t>
  </si>
  <si>
    <t>era_vene_2_606</t>
  </si>
  <si>
    <t>era_vene_2_607</t>
  </si>
  <si>
    <t xml:space="preserve">0.2464	</t>
  </si>
  <si>
    <t>H02</t>
  </si>
  <si>
    <t>era_vene_5_167_9</t>
  </si>
  <si>
    <t>era_vene_5_167</t>
  </si>
  <si>
    <t>era_vene_5_168</t>
  </si>
  <si>
    <t>H03</t>
  </si>
  <si>
    <t>era_vene_6_379_6</t>
  </si>
  <si>
    <t>era_vene_6_380</t>
  </si>
  <si>
    <t>era_vene_6_381</t>
  </si>
  <si>
    <t>H04</t>
  </si>
  <si>
    <t>era_vene_7_125_1</t>
  </si>
  <si>
    <t>era_vene_7_126</t>
  </si>
  <si>
    <t>era_vene_7_127</t>
  </si>
  <si>
    <t>H05</t>
  </si>
  <si>
    <t>rkm_vene_3_257_116</t>
  </si>
  <si>
    <t>rkm_vene_3_258</t>
  </si>
  <si>
    <t>rkm_vene_3_259</t>
  </si>
  <si>
    <t>H06</t>
  </si>
  <si>
    <t>era_vene_5_442_6</t>
  </si>
  <si>
    <t>era_vene_5_442</t>
  </si>
  <si>
    <t>era_vene_5_443</t>
  </si>
  <si>
    <t>H07</t>
  </si>
  <si>
    <t>era_vene_12_137_98</t>
  </si>
  <si>
    <t>era_vene_12_138</t>
  </si>
  <si>
    <t>era_vene_12_139</t>
  </si>
  <si>
    <t>H08</t>
  </si>
  <si>
    <t>era_vene_13_635_20</t>
  </si>
  <si>
    <t>era_vene_13_636</t>
  </si>
  <si>
    <t>era_vene_13_637</t>
  </si>
  <si>
    <t>H09</t>
  </si>
  <si>
    <t>era_vene_15_134_3</t>
  </si>
  <si>
    <t>era_vene_15_134</t>
  </si>
  <si>
    <t>era_vene_15_135</t>
  </si>
  <si>
    <t>H10</t>
  </si>
  <si>
    <t>era_vene_8_210_126</t>
  </si>
  <si>
    <t>era_vene_8_210</t>
  </si>
  <si>
    <t>era_vene_8_211</t>
  </si>
  <si>
    <t>n_pages_made</t>
  </si>
  <si>
    <t>p_CER_le_25_transkrib_weighted</t>
  </si>
  <si>
    <t>p_CER_ge_50_transcrib_weighted</t>
  </si>
  <si>
    <t>era_vene_02_606-607</t>
  </si>
  <si>
    <t>era_vene_05_166-167</t>
  </si>
  <si>
    <t>era_vene_06_380-381</t>
  </si>
  <si>
    <t>era_vene_07_126-127</t>
  </si>
  <si>
    <t>era_rkm_vene_03_258-259</t>
  </si>
  <si>
    <t>era_vene_05_442-443</t>
  </si>
  <si>
    <t>era_vene_12_138-139</t>
  </si>
  <si>
    <t>era_vene_13_636-637</t>
  </si>
  <si>
    <t>era_vene_15_134-135</t>
  </si>
  <si>
    <t>era_vene_08_210-211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</si>
</sst>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86"/>
      <scheme val="minor"/>
    </font>
    <font>
      <sz val="11"/>
      <color rgb="FF000000"/>
      <name val="Noto Sans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wrapText="1"/>
    </xf>
    <xf numFmtId="0" fontId="0" fillId="0" borderId="3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wrapText="1"/>
    </xf>
    <xf numFmtId="0" fontId="4" fillId="0" borderId="0" xfId="0" applyFont="1" applyAlignment="1">
      <alignment horizontal="left"/>
    </xf>
    <xf numFmtId="0" fontId="5" fillId="0" borderId="3" xfId="0" applyFont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wrapText="1"/>
    </xf>
    <xf numFmtId="0" fontId="0" fillId="0" borderId="2" xfId="0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3" fillId="0" borderId="2" xfId="0" applyFont="1" applyBorder="1" applyAlignment="1">
      <alignment wrapText="1"/>
    </xf>
    <xf numFmtId="0" fontId="0" fillId="0" borderId="6" xfId="0" applyBorder="1" applyAlignment="1">
      <alignment horizontal="left" wrapText="1"/>
    </xf>
    <xf numFmtId="0" fontId="0" fillId="0" borderId="6" xfId="0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EF3D-814F-2341-9AFA-FA307D30ABD5}">
  <dimension ref="A1:K11"/>
  <sheetViews>
    <sheetView tabSelected="1" zoomScale="130" zoomScaleNormal="130" workbookViewId="0">
      <selection activeCell="B11" sqref="B11"/>
    </sheetView>
  </sheetViews>
  <sheetFormatPr baseColWidth="10" defaultRowHeight="16" x14ac:dyDescent="0.2"/>
  <cols>
    <col min="2" max="2" width="17.5" customWidth="1"/>
    <col min="3" max="9" width="10.83203125" customWidth="1"/>
  </cols>
  <sheetData>
    <row r="1" spans="1:11" ht="48" x14ac:dyDescent="0.2">
      <c r="A1" s="1" t="s">
        <v>0</v>
      </c>
      <c r="B1" s="1" t="s">
        <v>2</v>
      </c>
      <c r="C1" s="1" t="s">
        <v>52</v>
      </c>
      <c r="D1" s="2" t="s">
        <v>5</v>
      </c>
      <c r="E1" s="2" t="s">
        <v>6</v>
      </c>
      <c r="F1" s="3" t="s">
        <v>7</v>
      </c>
      <c r="G1" s="3" t="s">
        <v>8</v>
      </c>
      <c r="H1" s="2" t="s">
        <v>9</v>
      </c>
      <c r="I1" s="2" t="s">
        <v>10</v>
      </c>
      <c r="J1" s="2" t="s">
        <v>53</v>
      </c>
      <c r="K1" s="2" t="s">
        <v>54</v>
      </c>
    </row>
    <row r="2" spans="1:11" ht="34" x14ac:dyDescent="0.2">
      <c r="A2" s="4" t="s">
        <v>11</v>
      </c>
      <c r="B2" s="4" t="s">
        <v>55</v>
      </c>
      <c r="C2" s="5">
        <v>2</v>
      </c>
      <c r="D2" s="4">
        <v>10.77</v>
      </c>
      <c r="E2" s="6">
        <v>0.24640000000000001</v>
      </c>
      <c r="F2" s="4">
        <v>33.43</v>
      </c>
      <c r="G2" s="10">
        <v>0.52224736842105246</v>
      </c>
      <c r="H2" s="4">
        <v>23.574999999999999</v>
      </c>
      <c r="I2" s="4">
        <v>0.4703</v>
      </c>
      <c r="J2" s="4">
        <v>1</v>
      </c>
      <c r="K2" s="4">
        <v>0</v>
      </c>
    </row>
    <row r="3" spans="1:11" ht="34" x14ac:dyDescent="0.2">
      <c r="A3" s="4" t="s">
        <v>16</v>
      </c>
      <c r="B3" s="4" t="s">
        <v>56</v>
      </c>
      <c r="C3" s="5">
        <v>2</v>
      </c>
      <c r="D3" s="4">
        <v>49.18</v>
      </c>
      <c r="E3" s="6">
        <v>0.59240000000000004</v>
      </c>
      <c r="F3" s="4">
        <v>33.43</v>
      </c>
      <c r="G3" s="10">
        <v>0.52224736842105246</v>
      </c>
      <c r="H3" s="4">
        <v>23.574999999999999</v>
      </c>
      <c r="I3" s="4">
        <v>0.4703</v>
      </c>
      <c r="J3" s="4">
        <v>0</v>
      </c>
      <c r="K3" s="4">
        <v>0.5641025641025641</v>
      </c>
    </row>
    <row r="4" spans="1:11" ht="45" customHeight="1" x14ac:dyDescent="0.2">
      <c r="A4" s="4" t="s">
        <v>20</v>
      </c>
      <c r="B4" s="4" t="s">
        <v>57</v>
      </c>
      <c r="C4" s="4">
        <v>2</v>
      </c>
      <c r="D4" s="4">
        <v>76.819999999999993</v>
      </c>
      <c r="E4" s="6">
        <v>0.88939999999999997</v>
      </c>
      <c r="F4" s="4">
        <v>33.43</v>
      </c>
      <c r="G4" s="10">
        <v>0.52224736842105246</v>
      </c>
      <c r="H4" s="4">
        <v>23.574999999999999</v>
      </c>
      <c r="I4" s="4">
        <v>0.4703</v>
      </c>
      <c r="J4" s="4">
        <v>0</v>
      </c>
      <c r="K4" s="4">
        <v>1</v>
      </c>
    </row>
    <row r="5" spans="1:11" ht="38" customHeight="1" x14ac:dyDescent="0.2">
      <c r="A5" s="7" t="s">
        <v>24</v>
      </c>
      <c r="B5" s="7" t="s">
        <v>58</v>
      </c>
      <c r="C5" s="5">
        <v>2</v>
      </c>
      <c r="D5" s="4">
        <v>9.6</v>
      </c>
      <c r="E5" s="6">
        <v>0.2717</v>
      </c>
      <c r="F5" s="4">
        <v>33.43</v>
      </c>
      <c r="G5" s="10">
        <v>0.52224736842105246</v>
      </c>
      <c r="H5" s="4">
        <v>23.574999999999999</v>
      </c>
      <c r="I5" s="4">
        <v>0.4703</v>
      </c>
      <c r="J5" s="4">
        <v>1</v>
      </c>
      <c r="K5" s="4">
        <v>0</v>
      </c>
    </row>
    <row r="6" spans="1:11" ht="38" customHeight="1" x14ac:dyDescent="0.2">
      <c r="A6" s="7" t="s">
        <v>28</v>
      </c>
      <c r="B6" s="7" t="s">
        <v>59</v>
      </c>
      <c r="C6" s="4">
        <v>2</v>
      </c>
      <c r="D6" s="4">
        <v>10.41</v>
      </c>
      <c r="E6" s="6">
        <v>0.27310000000000001</v>
      </c>
      <c r="F6" s="4">
        <v>33.43</v>
      </c>
      <c r="G6" s="10">
        <v>0.52224736842105246</v>
      </c>
      <c r="H6" s="4">
        <v>23.574999999999999</v>
      </c>
      <c r="I6" s="4">
        <v>0.4703</v>
      </c>
      <c r="J6" s="4">
        <v>1</v>
      </c>
      <c r="K6" s="4">
        <v>0</v>
      </c>
    </row>
    <row r="7" spans="1:11" x14ac:dyDescent="0.2">
      <c r="A7" s="7" t="s">
        <v>32</v>
      </c>
      <c r="B7" s="7" t="s">
        <v>60</v>
      </c>
      <c r="C7" s="5">
        <v>2</v>
      </c>
      <c r="D7" s="4">
        <v>80.900000000000006</v>
      </c>
      <c r="E7" s="6">
        <v>0.94239999999999902</v>
      </c>
      <c r="F7" s="4">
        <v>33.43</v>
      </c>
      <c r="G7" s="10">
        <v>0.52224736842105246</v>
      </c>
      <c r="H7" s="4">
        <v>23.574999999999999</v>
      </c>
      <c r="I7" s="4">
        <v>0.4703</v>
      </c>
      <c r="J7" s="4">
        <v>0</v>
      </c>
      <c r="K7" s="4">
        <v>1</v>
      </c>
    </row>
    <row r="8" spans="1:11" x14ac:dyDescent="0.2">
      <c r="A8" s="7" t="s">
        <v>36</v>
      </c>
      <c r="B8" s="7" t="s">
        <v>61</v>
      </c>
      <c r="C8" s="8">
        <v>2</v>
      </c>
      <c r="D8" s="4">
        <v>15.32</v>
      </c>
      <c r="E8" s="9">
        <v>0.45189999999999902</v>
      </c>
      <c r="F8" s="4">
        <v>33.43</v>
      </c>
      <c r="G8" s="10">
        <v>0.52224736842105246</v>
      </c>
      <c r="H8" s="4">
        <v>23.574999999999999</v>
      </c>
      <c r="I8" s="4">
        <v>0.4703</v>
      </c>
      <c r="J8" s="4">
        <v>1</v>
      </c>
      <c r="K8" s="4">
        <v>0</v>
      </c>
    </row>
    <row r="9" spans="1:11" x14ac:dyDescent="0.2">
      <c r="A9" s="7" t="s">
        <v>40</v>
      </c>
      <c r="B9" s="7" t="s">
        <v>62</v>
      </c>
      <c r="C9" s="8">
        <v>2</v>
      </c>
      <c r="D9" s="4">
        <v>13.41</v>
      </c>
      <c r="E9" s="6">
        <v>0.35099999999999998</v>
      </c>
      <c r="F9" s="4">
        <v>33.43</v>
      </c>
      <c r="G9" s="10">
        <v>0.52224736842105246</v>
      </c>
      <c r="H9" s="4">
        <v>23.574999999999999</v>
      </c>
      <c r="I9" s="4">
        <v>0.4703</v>
      </c>
      <c r="J9" s="4">
        <v>1</v>
      </c>
      <c r="K9" s="4">
        <v>0</v>
      </c>
    </row>
    <row r="10" spans="1:11" x14ac:dyDescent="0.2">
      <c r="A10" s="7" t="s">
        <v>44</v>
      </c>
      <c r="B10" s="7" t="s">
        <v>63</v>
      </c>
      <c r="C10" s="8">
        <v>2</v>
      </c>
      <c r="D10" s="4">
        <v>31.83</v>
      </c>
      <c r="E10" s="6">
        <v>0.4703</v>
      </c>
      <c r="F10" s="4">
        <v>33.43</v>
      </c>
      <c r="G10" s="10">
        <v>0.52224736842105246</v>
      </c>
      <c r="H10" s="4">
        <v>23.574999999999999</v>
      </c>
      <c r="I10" s="4">
        <v>0.4703</v>
      </c>
      <c r="J10" s="4">
        <v>0</v>
      </c>
      <c r="K10" s="4">
        <v>0</v>
      </c>
    </row>
    <row r="11" spans="1:11" x14ac:dyDescent="0.2">
      <c r="A11" s="7" t="s">
        <v>48</v>
      </c>
      <c r="B11" s="7" t="s">
        <v>64</v>
      </c>
      <c r="C11" s="5">
        <v>2</v>
      </c>
      <c r="D11" s="4">
        <v>34.619999999999997</v>
      </c>
      <c r="E11" s="6">
        <v>0.55649999999999999</v>
      </c>
      <c r="F11" s="4">
        <v>33.43</v>
      </c>
      <c r="G11" s="10">
        <v>0.52224736842105246</v>
      </c>
      <c r="H11" s="4">
        <v>23.574999999999999</v>
      </c>
      <c r="I11" s="4">
        <v>0.4703</v>
      </c>
      <c r="J11" s="4">
        <v>0</v>
      </c>
      <c r="K11" s="4">
        <v>0</v>
      </c>
    </row>
  </sheetData>
  <conditionalFormatting sqref="C2:F2 A2:B4 D3:E7 F3:F11 C4:C11 D8 D9:E11">
    <cfRule type="expression" dxfId="5" priority="5">
      <formula>#REF!="bad"</formula>
    </cfRule>
    <cfRule type="expression" dxfId="4" priority="6">
      <formula>#REF!="done"</formula>
    </cfRule>
  </conditionalFormatting>
  <conditionalFormatting sqref="H2:K11">
    <cfRule type="expression" dxfId="3" priority="1">
      <formula>#REF!="bad"</formula>
    </cfRule>
    <cfRule type="expression" dxfId="2" priority="2">
      <formula>#REF!="done"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A8CB1-A94D-264B-801C-1D93196522EA}">
  <dimension ref="A1:K21"/>
  <sheetViews>
    <sheetView topLeftCell="A5" workbookViewId="0">
      <selection activeCell="C6" sqref="C6"/>
    </sheetView>
  </sheetViews>
  <sheetFormatPr baseColWidth="10" defaultRowHeight="16" x14ac:dyDescent="0.2"/>
  <cols>
    <col min="3" max="3" width="24.5" customWidth="1"/>
    <col min="9" max="9" width="20.5" customWidth="1"/>
  </cols>
  <sheetData>
    <row r="1" spans="1:11" ht="3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2" t="s">
        <v>9</v>
      </c>
      <c r="K1" s="2" t="s">
        <v>10</v>
      </c>
    </row>
    <row r="2" spans="1:11" ht="34" x14ac:dyDescent="0.2">
      <c r="A2" s="4" t="s">
        <v>11</v>
      </c>
      <c r="B2" s="5" t="s">
        <v>12</v>
      </c>
      <c r="C2" s="11" t="s">
        <v>13</v>
      </c>
      <c r="D2" s="12">
        <v>18</v>
      </c>
      <c r="E2" s="12">
        <v>20</v>
      </c>
      <c r="F2" s="4">
        <v>10.77</v>
      </c>
      <c r="G2" s="6">
        <v>0.24640000000000001</v>
      </c>
      <c r="H2" s="4">
        <f>AVERAGE($F2:$F21)</f>
        <v>33.43</v>
      </c>
      <c r="I2" s="6">
        <f>AVERAGE($G2:$G21)</f>
        <v>0.52224736842105246</v>
      </c>
      <c r="J2" s="4">
        <f>MEDIAN($F2:$F21)</f>
        <v>23.574999999999999</v>
      </c>
      <c r="K2" s="4">
        <f>MEDIAN($G2:$G21)</f>
        <v>0.4703</v>
      </c>
    </row>
    <row r="3" spans="1:11" ht="34" x14ac:dyDescent="0.2">
      <c r="A3" s="4" t="s">
        <v>11</v>
      </c>
      <c r="B3" s="5" t="s">
        <v>12</v>
      </c>
      <c r="C3" s="11" t="s">
        <v>14</v>
      </c>
      <c r="D3" s="12">
        <v>19</v>
      </c>
      <c r="E3" s="12">
        <v>21</v>
      </c>
      <c r="F3" s="4">
        <v>10.77</v>
      </c>
      <c r="G3" s="6" t="s">
        <v>15</v>
      </c>
      <c r="H3" s="4">
        <f>AVERAGE($F2:$F21)</f>
        <v>33.43</v>
      </c>
      <c r="I3" s="6">
        <f>AVERAGE($G2:$G22)</f>
        <v>0.52224736842105246</v>
      </c>
      <c r="J3" s="4">
        <v>23.574999999999999</v>
      </c>
      <c r="K3" s="4">
        <v>0.4703</v>
      </c>
    </row>
    <row r="4" spans="1:11" ht="34" x14ac:dyDescent="0.2">
      <c r="A4" s="4" t="s">
        <v>16</v>
      </c>
      <c r="B4" s="5" t="s">
        <v>17</v>
      </c>
      <c r="C4" s="13" t="s">
        <v>18</v>
      </c>
      <c r="D4" s="12">
        <v>20</v>
      </c>
      <c r="E4" s="12">
        <v>17</v>
      </c>
      <c r="F4" s="4">
        <v>49.18</v>
      </c>
      <c r="G4" s="6">
        <v>0.59240000000000004</v>
      </c>
      <c r="H4" s="4">
        <v>33.43</v>
      </c>
      <c r="I4" s="6">
        <v>0.52224736842105246</v>
      </c>
      <c r="J4" s="4">
        <v>23.574999999999999</v>
      </c>
      <c r="K4" s="4">
        <v>0.4703</v>
      </c>
    </row>
    <row r="5" spans="1:11" ht="34" x14ac:dyDescent="0.2">
      <c r="A5" s="4" t="s">
        <v>16</v>
      </c>
      <c r="B5" s="5" t="s">
        <v>17</v>
      </c>
      <c r="C5" s="13" t="s">
        <v>19</v>
      </c>
      <c r="D5" s="12">
        <v>22</v>
      </c>
      <c r="E5" s="12">
        <v>22</v>
      </c>
      <c r="F5" s="4">
        <v>52.06</v>
      </c>
      <c r="G5" s="6">
        <v>0.67130000000000001</v>
      </c>
      <c r="H5" s="4">
        <v>33.43</v>
      </c>
      <c r="I5" s="6">
        <v>0.52224736842105246</v>
      </c>
      <c r="J5" s="4">
        <v>23.574999999999999</v>
      </c>
      <c r="K5" s="4">
        <v>0.4703</v>
      </c>
    </row>
    <row r="6" spans="1:11" ht="34" x14ac:dyDescent="0.2">
      <c r="A6" s="4" t="s">
        <v>20</v>
      </c>
      <c r="B6" s="4" t="s">
        <v>21</v>
      </c>
      <c r="C6" s="14" t="s">
        <v>22</v>
      </c>
      <c r="D6" s="12">
        <v>18</v>
      </c>
      <c r="E6" s="12">
        <v>18</v>
      </c>
      <c r="F6" s="4">
        <v>76.819999999999993</v>
      </c>
      <c r="G6" s="6">
        <v>0.88939999999999997</v>
      </c>
      <c r="H6" s="4">
        <v>33.43</v>
      </c>
      <c r="I6" s="6">
        <v>0.52224736842105246</v>
      </c>
      <c r="J6" s="4">
        <v>23.574999999999999</v>
      </c>
      <c r="K6" s="4">
        <v>0.4703</v>
      </c>
    </row>
    <row r="7" spans="1:11" ht="34" x14ac:dyDescent="0.2">
      <c r="A7" s="4" t="s">
        <v>20</v>
      </c>
      <c r="B7" s="4" t="s">
        <v>21</v>
      </c>
      <c r="C7" s="14" t="s">
        <v>23</v>
      </c>
      <c r="D7" s="12">
        <v>18</v>
      </c>
      <c r="E7" s="12">
        <v>18</v>
      </c>
      <c r="F7" s="4">
        <v>76.819999999999993</v>
      </c>
      <c r="G7" s="6">
        <v>0.88939999999999997</v>
      </c>
      <c r="H7" s="4">
        <v>33.43</v>
      </c>
      <c r="I7" s="6">
        <v>0.52224736842105246</v>
      </c>
      <c r="J7" s="4">
        <v>23.574999999999999</v>
      </c>
      <c r="K7" s="4">
        <v>0.4703</v>
      </c>
    </row>
    <row r="8" spans="1:11" ht="34" x14ac:dyDescent="0.2">
      <c r="A8" s="7" t="s">
        <v>24</v>
      </c>
      <c r="B8" s="5" t="s">
        <v>25</v>
      </c>
      <c r="C8" s="13" t="s">
        <v>26</v>
      </c>
      <c r="D8" s="12">
        <v>18</v>
      </c>
      <c r="E8" s="12">
        <v>18</v>
      </c>
      <c r="F8" s="4">
        <v>9.6</v>
      </c>
      <c r="G8" s="6">
        <v>0.2717</v>
      </c>
      <c r="H8" s="4">
        <v>33.43</v>
      </c>
      <c r="I8" s="6">
        <v>0.52224736842105246</v>
      </c>
      <c r="J8" s="4">
        <v>23.574999999999999</v>
      </c>
      <c r="K8" s="4">
        <v>0.4703</v>
      </c>
    </row>
    <row r="9" spans="1:11" ht="34" x14ac:dyDescent="0.2">
      <c r="A9" s="15" t="s">
        <v>24</v>
      </c>
      <c r="B9" s="5" t="s">
        <v>25</v>
      </c>
      <c r="C9" s="13" t="s">
        <v>27</v>
      </c>
      <c r="D9" s="12">
        <v>18</v>
      </c>
      <c r="E9" s="12">
        <v>18</v>
      </c>
      <c r="F9" s="4">
        <v>9.6</v>
      </c>
      <c r="G9" s="6">
        <v>0.2717</v>
      </c>
      <c r="H9" s="4">
        <v>33.43</v>
      </c>
      <c r="I9" s="6">
        <v>0.52224736842105246</v>
      </c>
      <c r="J9" s="4">
        <v>23.574999999999999</v>
      </c>
      <c r="K9" s="4">
        <v>0.4703</v>
      </c>
    </row>
    <row r="10" spans="1:11" ht="34" x14ac:dyDescent="0.2">
      <c r="A10" s="7" t="s">
        <v>28</v>
      </c>
      <c r="B10" s="4" t="s">
        <v>29</v>
      </c>
      <c r="C10" s="14" t="s">
        <v>30</v>
      </c>
      <c r="D10" s="12">
        <v>19</v>
      </c>
      <c r="E10" s="12">
        <v>19</v>
      </c>
      <c r="F10" s="4">
        <v>10.41</v>
      </c>
      <c r="G10" s="6">
        <v>0.27310000000000001</v>
      </c>
      <c r="H10" s="4">
        <v>33.43</v>
      </c>
      <c r="I10" s="6">
        <v>0.52224736842105246</v>
      </c>
      <c r="J10" s="4">
        <v>23.574999999999999</v>
      </c>
      <c r="K10" s="4">
        <v>0.4703</v>
      </c>
    </row>
    <row r="11" spans="1:11" ht="34" x14ac:dyDescent="0.2">
      <c r="A11" s="15" t="s">
        <v>28</v>
      </c>
      <c r="B11" s="4" t="s">
        <v>29</v>
      </c>
      <c r="C11" s="14" t="s">
        <v>31</v>
      </c>
      <c r="D11" s="12">
        <v>19</v>
      </c>
      <c r="E11" s="12">
        <v>19</v>
      </c>
      <c r="F11" s="4">
        <v>10.41</v>
      </c>
      <c r="G11" s="6">
        <v>0.27310000000000001</v>
      </c>
      <c r="H11" s="4">
        <v>33.43</v>
      </c>
      <c r="I11" s="6">
        <v>0.52224736842105246</v>
      </c>
      <c r="J11" s="4">
        <v>23.574999999999999</v>
      </c>
      <c r="K11" s="4">
        <v>0.4703</v>
      </c>
    </row>
    <row r="12" spans="1:11" ht="34" x14ac:dyDescent="0.2">
      <c r="A12" s="7" t="s">
        <v>32</v>
      </c>
      <c r="B12" s="5" t="s">
        <v>33</v>
      </c>
      <c r="C12" s="13" t="s">
        <v>34</v>
      </c>
      <c r="D12" s="16">
        <v>21</v>
      </c>
      <c r="E12" s="16">
        <v>17</v>
      </c>
      <c r="F12" s="4">
        <v>80.900000000000006</v>
      </c>
      <c r="G12" s="6">
        <v>0.94239999999999902</v>
      </c>
      <c r="H12" s="4">
        <v>33.43</v>
      </c>
      <c r="I12" s="6">
        <v>0.52224736842105246</v>
      </c>
      <c r="J12" s="4">
        <v>23.574999999999999</v>
      </c>
      <c r="K12" s="4">
        <v>0.4703</v>
      </c>
    </row>
    <row r="13" spans="1:11" ht="34" x14ac:dyDescent="0.2">
      <c r="A13" s="15" t="s">
        <v>32</v>
      </c>
      <c r="B13" s="5" t="s">
        <v>33</v>
      </c>
      <c r="C13" s="13" t="s">
        <v>35</v>
      </c>
      <c r="D13" s="12">
        <v>20</v>
      </c>
      <c r="E13" s="12">
        <v>20</v>
      </c>
      <c r="F13" s="4">
        <v>80.900000000000006</v>
      </c>
      <c r="G13" s="6">
        <v>0.94239999999999902</v>
      </c>
      <c r="H13" s="4">
        <v>33.43</v>
      </c>
      <c r="I13" s="6">
        <v>0.52224736842105246</v>
      </c>
      <c r="J13" s="4">
        <v>23.574999999999999</v>
      </c>
      <c r="K13" s="4">
        <v>0.4703</v>
      </c>
    </row>
    <row r="14" spans="1:11" ht="32" x14ac:dyDescent="0.2">
      <c r="A14" s="7" t="s">
        <v>36</v>
      </c>
      <c r="B14" s="8" t="s">
        <v>37</v>
      </c>
      <c r="C14" s="17" t="s">
        <v>38</v>
      </c>
      <c r="D14" s="12">
        <v>20</v>
      </c>
      <c r="E14" s="12">
        <v>20</v>
      </c>
      <c r="F14" s="4">
        <v>15.32</v>
      </c>
      <c r="G14" s="9">
        <v>0.45189999999999902</v>
      </c>
      <c r="H14" s="4">
        <v>33.43</v>
      </c>
      <c r="I14" s="6">
        <v>0.52224736842105246</v>
      </c>
      <c r="J14" s="4">
        <v>23.574999999999999</v>
      </c>
      <c r="K14" s="4">
        <v>0.4703</v>
      </c>
    </row>
    <row r="15" spans="1:11" ht="32" x14ac:dyDescent="0.2">
      <c r="A15" s="15" t="s">
        <v>36</v>
      </c>
      <c r="B15" s="8" t="s">
        <v>37</v>
      </c>
      <c r="C15" s="17" t="s">
        <v>39</v>
      </c>
      <c r="D15" s="12">
        <v>20</v>
      </c>
      <c r="E15" s="12">
        <v>20</v>
      </c>
      <c r="F15" s="4">
        <v>15.32</v>
      </c>
      <c r="G15" s="6">
        <v>0.45189999999999902</v>
      </c>
      <c r="H15" s="4">
        <v>33.43</v>
      </c>
      <c r="I15" s="6">
        <v>0.52224736842105246</v>
      </c>
      <c r="J15" s="4">
        <v>23.574999999999999</v>
      </c>
      <c r="K15" s="4">
        <v>0.4703</v>
      </c>
    </row>
    <row r="16" spans="1:11" ht="32" x14ac:dyDescent="0.2">
      <c r="A16" s="7" t="s">
        <v>40</v>
      </c>
      <c r="B16" s="8" t="s">
        <v>41</v>
      </c>
      <c r="C16" s="8" t="s">
        <v>42</v>
      </c>
      <c r="D16" s="12">
        <v>20</v>
      </c>
      <c r="E16" s="12">
        <v>20</v>
      </c>
      <c r="F16" s="4">
        <v>13.41</v>
      </c>
      <c r="G16" s="6">
        <v>0.35099999999999998</v>
      </c>
      <c r="H16" s="4">
        <v>33.43</v>
      </c>
      <c r="I16" s="6">
        <v>0.52224736842105246</v>
      </c>
      <c r="J16" s="4">
        <v>23.574999999999999</v>
      </c>
      <c r="K16" s="4">
        <v>0.4703</v>
      </c>
    </row>
    <row r="17" spans="1:11" ht="32" x14ac:dyDescent="0.2">
      <c r="A17" s="15" t="s">
        <v>40</v>
      </c>
      <c r="B17" s="8" t="s">
        <v>41</v>
      </c>
      <c r="C17" s="8" t="s">
        <v>43</v>
      </c>
      <c r="D17" s="12">
        <v>20</v>
      </c>
      <c r="E17" s="12">
        <v>20</v>
      </c>
      <c r="F17" s="4">
        <v>13.41</v>
      </c>
      <c r="G17" s="6">
        <v>0.35099999999999998</v>
      </c>
      <c r="H17" s="4">
        <v>33.43</v>
      </c>
      <c r="I17" s="6">
        <v>0.52224736842105246</v>
      </c>
      <c r="J17" s="4">
        <v>23.574999999999999</v>
      </c>
      <c r="K17" s="4">
        <v>0.4703</v>
      </c>
    </row>
    <row r="18" spans="1:11" ht="32" x14ac:dyDescent="0.2">
      <c r="A18" s="7" t="s">
        <v>44</v>
      </c>
      <c r="B18" s="8" t="s">
        <v>45</v>
      </c>
      <c r="C18" s="8" t="s">
        <v>46</v>
      </c>
      <c r="D18" s="12">
        <v>20</v>
      </c>
      <c r="E18" s="12">
        <v>12</v>
      </c>
      <c r="F18" s="4">
        <v>31.83</v>
      </c>
      <c r="G18" s="6">
        <v>0.4703</v>
      </c>
      <c r="H18" s="4">
        <v>33.43</v>
      </c>
      <c r="I18" s="6">
        <v>0.52224736842105246</v>
      </c>
      <c r="J18" s="4">
        <v>23.574999999999999</v>
      </c>
      <c r="K18" s="4">
        <v>0.4703</v>
      </c>
    </row>
    <row r="19" spans="1:11" ht="32" x14ac:dyDescent="0.2">
      <c r="A19" s="15" t="s">
        <v>44</v>
      </c>
      <c r="B19" s="8" t="s">
        <v>45</v>
      </c>
      <c r="C19" s="8" t="s">
        <v>47</v>
      </c>
      <c r="D19" s="12">
        <v>20</v>
      </c>
      <c r="E19" s="12">
        <v>20</v>
      </c>
      <c r="F19" s="4">
        <v>31.83</v>
      </c>
      <c r="G19" s="6">
        <v>0.4703</v>
      </c>
      <c r="H19" s="4">
        <v>33.43</v>
      </c>
      <c r="I19" s="6">
        <v>0.52224736842105246</v>
      </c>
      <c r="J19" s="4">
        <v>23.574999999999999</v>
      </c>
      <c r="K19" s="4">
        <v>0.4703</v>
      </c>
    </row>
    <row r="20" spans="1:11" ht="34" x14ac:dyDescent="0.2">
      <c r="A20" s="7" t="s">
        <v>48</v>
      </c>
      <c r="B20" s="5" t="s">
        <v>49</v>
      </c>
      <c r="C20" s="5" t="s">
        <v>50</v>
      </c>
      <c r="D20" s="12">
        <v>20</v>
      </c>
      <c r="E20" s="12">
        <v>19</v>
      </c>
      <c r="F20" s="4">
        <v>34.619999999999997</v>
      </c>
      <c r="G20" s="6">
        <v>0.55649999999999999</v>
      </c>
      <c r="H20" s="4">
        <v>33.43</v>
      </c>
      <c r="I20" s="6">
        <v>0.52224736842105246</v>
      </c>
      <c r="J20" s="4">
        <v>23.574999999999999</v>
      </c>
      <c r="K20" s="4">
        <v>0.4703</v>
      </c>
    </row>
    <row r="21" spans="1:11" ht="35" thickBot="1" x14ac:dyDescent="0.25">
      <c r="A21" s="15" t="s">
        <v>48</v>
      </c>
      <c r="B21" s="18" t="s">
        <v>49</v>
      </c>
      <c r="C21" s="5" t="s">
        <v>51</v>
      </c>
      <c r="D21" s="19">
        <v>20</v>
      </c>
      <c r="E21" s="19">
        <v>14</v>
      </c>
      <c r="F21" s="4">
        <v>34.619999999999997</v>
      </c>
      <c r="G21" s="6">
        <v>0.55649999999999999</v>
      </c>
      <c r="H21" s="4">
        <v>33.43</v>
      </c>
      <c r="I21" s="6">
        <v>0.52224736842105246</v>
      </c>
      <c r="J21" s="4">
        <v>23.574999999999999</v>
      </c>
      <c r="K21" s="4">
        <v>0.4703</v>
      </c>
    </row>
  </sheetData>
  <conditionalFormatting sqref="F2:K2 B2:E3 A2:A7 F3:G13 H3:K21 D4:E5 B6:E21 F14 F15:G21">
    <cfRule type="expression" dxfId="1" priority="1">
      <formula>#REF!="bad"</formula>
    </cfRule>
    <cfRule type="expression" dxfId="0" priority="2">
      <formula>#REF!="done"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Evgeniia Vdovichenko - evgeniia.vdovichenko@studio.unibo.it</dc:creator>
  <cp:lastModifiedBy>Evgeniia Vdovichenko - evgeniia.vdovichenko@studio.uni</cp:lastModifiedBy>
  <dcterms:created xsi:type="dcterms:W3CDTF">2025-12-27T17:40:32Z</dcterms:created>
  <dcterms:modified xsi:type="dcterms:W3CDTF">2025-12-29T14:52:16Z</dcterms:modified>
</cp:coreProperties>
</file>