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eugenia/Desktop/thesis/magic_tagger/docs/htr/"/>
    </mc:Choice>
  </mc:AlternateContent>
  <xr:revisionPtr revIDLastSave="0" documentId="13_ncr:1_{4C332912-708A-4347-9490-EF2EE18FABA7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val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1" l="1"/>
  <c r="S4" i="1"/>
  <c r="S3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" i="1"/>
  <c r="R3" i="1"/>
  <c r="R4" i="1"/>
  <c r="R5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" i="1"/>
</calcChain>
</file>

<file path=xl/sharedStrings.xml><?xml version="1.0" encoding="utf-8"?>
<sst xmlns="http://schemas.openxmlformats.org/spreadsheetml/2006/main" count="234" uniqueCount="92">
  <si>
    <t>image_filename</t>
  </si>
  <si>
    <t>page_no</t>
  </si>
  <si>
    <t>lines_selected</t>
  </si>
  <si>
    <t>major_issues</t>
  </si>
  <si>
    <t>gt_status</t>
  </si>
  <si>
    <t/>
  </si>
  <si>
    <t>ok</t>
  </si>
  <si>
    <t>collector_ids</t>
  </si>
  <si>
    <t>collector_count</t>
  </si>
  <si>
    <t>handwriting_id</t>
  </si>
  <si>
    <t>handwriting_status (unknown/assigned)</t>
  </si>
  <si>
    <t>handwriting_confidence (low | medium | high)</t>
  </si>
  <si>
    <t>tale_id</t>
  </si>
  <si>
    <t>era_vene_2_605_4</t>
  </si>
  <si>
    <t>era_vene_5_167_9</t>
  </si>
  <si>
    <t>era_vene_6_379_6</t>
  </si>
  <si>
    <t>era_vene_7_125_1</t>
  </si>
  <si>
    <t>rkm_vene_3_257_116</t>
  </si>
  <si>
    <t>era_vene_13_635_20</t>
  </si>
  <si>
    <t>era_vene_15_134_3</t>
  </si>
  <si>
    <t>era_vene_02_606-607.pdf</t>
  </si>
  <si>
    <t>page_side</t>
  </si>
  <si>
    <t>L</t>
  </si>
  <si>
    <t>R</t>
  </si>
  <si>
    <t>era_vene_05_166-167.pdf</t>
  </si>
  <si>
    <t>era_vene_05_168-169.pdf</t>
  </si>
  <si>
    <t>era_vene_06_380-381.pdf</t>
  </si>
  <si>
    <t>era_vene_07_126-127.pdf</t>
  </si>
  <si>
    <t>era_rkm_vene_03_258-259.pdf</t>
  </si>
  <si>
    <t>era_vene_5_442_6</t>
  </si>
  <si>
    <t>era_vene_05_442-443.pdf</t>
  </si>
  <si>
    <t>era_vene_12_137_98</t>
  </si>
  <si>
    <t>era_vene_12_138-139.pdf</t>
  </si>
  <si>
    <t>era_vene_13_636-637.pdf</t>
  </si>
  <si>
    <t>era_vene_15_134-135.pdf</t>
  </si>
  <si>
    <t>era_vene_8_210_126</t>
  </si>
  <si>
    <t>Egorov V.</t>
  </si>
  <si>
    <t>era_vene_08_210-211.pdf</t>
  </si>
  <si>
    <t>quality_hint (good|ok|bad)</t>
  </si>
  <si>
    <t>assigned</t>
  </si>
  <si>
    <t>high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</si>
  <si>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</si>
  <si>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</si>
  <si>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</si>
  <si>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</si>
  <si>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</si>
  <si>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</si>
  <si>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</si>
  <si>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</si>
  <si>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</si>
  <si>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</si>
  <si>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good</t>
  </si>
  <si>
    <t>lines_count</t>
  </si>
  <si>
    <t>above the page we can see words from th previous page</t>
  </si>
  <si>
    <t>trasparent paper</t>
  </si>
  <si>
    <t xml:space="preserve">low contrast </t>
  </si>
  <si>
    <t>page_id</t>
  </si>
  <si>
    <t>era_vene_2_606</t>
  </si>
  <si>
    <t>era_vene_2_607</t>
  </si>
  <si>
    <t>era_vene_5_167</t>
  </si>
  <si>
    <t>era_vene_5_168</t>
  </si>
  <si>
    <t>era_vene_6_380</t>
  </si>
  <si>
    <t>era_vene_6_381</t>
  </si>
  <si>
    <t>era_vene_7_126</t>
  </si>
  <si>
    <t>era_vene_7_127</t>
  </si>
  <si>
    <t>rkm_vene_3_258</t>
  </si>
  <si>
    <t>rkm_vene_3_259</t>
  </si>
  <si>
    <t>era_vene_5_442</t>
  </si>
  <si>
    <t>era_vene_5_443</t>
  </si>
  <si>
    <t>era_vene_12_138</t>
  </si>
  <si>
    <t>era_vene_12_139</t>
  </si>
  <si>
    <t>era_vene_13_636</t>
  </si>
  <si>
    <t>era_vene_13_637</t>
  </si>
  <si>
    <t>era_vene_15_134</t>
  </si>
  <si>
    <t>era_vene_15_135</t>
  </si>
  <si>
    <t>era_vene_8_210</t>
  </si>
  <si>
    <t>era_vene_8_211</t>
  </si>
  <si>
    <t>made</t>
  </si>
  <si>
    <t>CER_transkrib</t>
  </si>
  <si>
    <t>WER_transkrib</t>
  </si>
  <si>
    <t xml:space="preserve">0.2464	</t>
  </si>
  <si>
    <t>p_CER_le_25_transkrib_weighted</t>
  </si>
  <si>
    <t>p_CER_ge_50_transcrib_weighted</t>
  </si>
  <si>
    <t>Koniaev Fedor</t>
  </si>
  <si>
    <t>Nina Valkevits</t>
  </si>
  <si>
    <t>Sokolov M.</t>
  </si>
  <si>
    <t xml:space="preserve">Sokolova Maria </t>
  </si>
  <si>
    <t>Gromova Olga</t>
  </si>
  <si>
    <t>Zhemchuzhina Zoya</t>
  </si>
  <si>
    <t>Brandt Olga</t>
  </si>
  <si>
    <t>Kelner Aleksandr</t>
  </si>
  <si>
    <t>Gildebrandt Olga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</si>
</sst>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  <charset val="186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Noto Sans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0" fillId="0" borderId="6" xfId="0" applyBorder="1" applyAlignment="1">
      <alignment horizontal="left" wrapText="1"/>
    </xf>
    <xf numFmtId="0" fontId="0" fillId="0" borderId="10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1" fillId="2" borderId="10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8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4">
    <dxf>
      <fill>
        <patternFill>
          <bgColor rgb="FFC6EFCE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tabSelected="1" zoomScale="140" zoomScaleNormal="140" workbookViewId="0">
      <selection sqref="A1:S21"/>
    </sheetView>
  </sheetViews>
  <sheetFormatPr baseColWidth="10" defaultColWidth="8.83203125" defaultRowHeight="15" x14ac:dyDescent="0.2"/>
  <cols>
    <col min="1" max="1" width="18" customWidth="1"/>
    <col min="2" max="2" width="9.6640625" hidden="1" customWidth="1"/>
    <col min="3" max="3" width="5.6640625" customWidth="1"/>
    <col min="4" max="5" width="18" hidden="1" customWidth="1"/>
    <col min="6" max="6" width="20" hidden="1" customWidth="1"/>
    <col min="7" max="7" width="24" hidden="1" customWidth="1"/>
    <col min="8" max="8" width="11.83203125" hidden="1" customWidth="1"/>
    <col min="9" max="9" width="10" customWidth="1"/>
    <col min="10" max="10" width="17.5" customWidth="1"/>
    <col min="11" max="11" width="12" hidden="1" customWidth="1"/>
    <col min="12" max="12" width="13" hidden="1" customWidth="1"/>
    <col min="13" max="13" width="12" customWidth="1"/>
    <col min="14" max="14" width="22" customWidth="1"/>
    <col min="15" max="15" width="14" hidden="1" customWidth="1"/>
    <col min="16" max="19" width="14" customWidth="1"/>
  </cols>
  <sheetData>
    <row r="1" spans="1:19" ht="47" customHeight="1" x14ac:dyDescent="0.2">
      <c r="A1" s="7" t="s">
        <v>7</v>
      </c>
      <c r="B1" s="8" t="s">
        <v>8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0</v>
      </c>
      <c r="H1" s="8" t="s">
        <v>1</v>
      </c>
      <c r="I1" s="8" t="s">
        <v>21</v>
      </c>
      <c r="J1" s="8" t="s">
        <v>56</v>
      </c>
      <c r="K1" s="8" t="s">
        <v>52</v>
      </c>
      <c r="L1" s="8" t="s">
        <v>2</v>
      </c>
      <c r="M1" s="8" t="s">
        <v>38</v>
      </c>
      <c r="N1" s="8" t="s">
        <v>3</v>
      </c>
      <c r="O1" s="8" t="s">
        <v>4</v>
      </c>
      <c r="P1" s="21" t="s">
        <v>78</v>
      </c>
      <c r="Q1" s="23" t="s">
        <v>79</v>
      </c>
      <c r="R1" s="21" t="s">
        <v>81</v>
      </c>
      <c r="S1" s="21" t="s">
        <v>82</v>
      </c>
    </row>
    <row r="2" spans="1:19" ht="16" x14ac:dyDescent="0.2">
      <c r="A2" s="33" t="s">
        <v>83</v>
      </c>
      <c r="B2" s="4">
        <v>1</v>
      </c>
      <c r="C2" s="24" t="s">
        <v>41</v>
      </c>
      <c r="D2" s="4" t="s">
        <v>39</v>
      </c>
      <c r="E2" s="4" t="s">
        <v>40</v>
      </c>
      <c r="F2" s="3" t="s">
        <v>13</v>
      </c>
      <c r="G2" s="4" t="s">
        <v>20</v>
      </c>
      <c r="H2" s="4">
        <v>606</v>
      </c>
      <c r="I2" s="5" t="s">
        <v>22</v>
      </c>
      <c r="J2" s="15" t="s">
        <v>57</v>
      </c>
      <c r="K2" s="5">
        <v>18</v>
      </c>
      <c r="L2" s="5">
        <v>20</v>
      </c>
      <c r="M2" s="4" t="s">
        <v>51</v>
      </c>
      <c r="N2" s="4" t="s">
        <v>5</v>
      </c>
      <c r="O2" s="20" t="s">
        <v>77</v>
      </c>
      <c r="P2" s="4">
        <v>10.77</v>
      </c>
      <c r="Q2" s="20">
        <v>0.24640000000000001</v>
      </c>
      <c r="R2" s="4">
        <f>IFERROR(
  SUMIFS($L$2:$L$21,$C$2:$C$21,$C2,$P$2:$P$21,"&lt;=25")
  /
  SUMIF($C$2:$C$21,$C2,$L$2:$L$21),0)</f>
        <v>1</v>
      </c>
      <c r="S2" s="4">
        <f>IFERROR(
  SUMIFS($L$2:$L$21,$C$2:$C$21,$C2,$P$2:$P$21,"&gt;=50")
  /
  SUMIF($C$2:$C$21,$C2,$L$2:$L$21),0)</f>
        <v>0</v>
      </c>
    </row>
    <row r="3" spans="1:19" ht="16" x14ac:dyDescent="0.2">
      <c r="A3" s="33" t="s">
        <v>83</v>
      </c>
      <c r="B3" s="4">
        <v>1</v>
      </c>
      <c r="C3" s="24" t="s">
        <v>41</v>
      </c>
      <c r="D3" s="4" t="s">
        <v>39</v>
      </c>
      <c r="E3" s="4" t="s">
        <v>40</v>
      </c>
      <c r="F3" s="3" t="s">
        <v>13</v>
      </c>
      <c r="G3" s="4" t="s">
        <v>20</v>
      </c>
      <c r="H3" s="4">
        <v>607</v>
      </c>
      <c r="I3" s="5" t="s">
        <v>23</v>
      </c>
      <c r="J3" s="15" t="s">
        <v>58</v>
      </c>
      <c r="K3" s="5">
        <v>19</v>
      </c>
      <c r="L3" s="5">
        <v>21</v>
      </c>
      <c r="M3" s="4" t="s">
        <v>51</v>
      </c>
      <c r="N3" s="4"/>
      <c r="O3" s="20" t="s">
        <v>77</v>
      </c>
      <c r="P3" s="4">
        <v>10.77</v>
      </c>
      <c r="Q3" s="20" t="s">
        <v>80</v>
      </c>
      <c r="R3" s="4">
        <f t="shared" ref="R3:R21" si="0">IFERROR(
  SUMIFS($L$2:$L$21,$C$2:$C$21,$C3,$P$2:$P$21,"&lt;=25")
  /
  SUMIF($C$2:$C$21,$C3,$L$2:$L$21),0)</f>
        <v>1</v>
      </c>
      <c r="S3" s="4">
        <f>IFERROR(
  SUMIFS($L$2:$L$21,$C$2:$C$21,$C3,$P$2:$P$21,"&gt;=50")
  /
  SUMIF($C$2:$C$21,$C3,$L$2:$L$21),0)</f>
        <v>0</v>
      </c>
    </row>
    <row r="4" spans="1:19" ht="16" x14ac:dyDescent="0.2">
      <c r="A4" s="9" t="s">
        <v>84</v>
      </c>
      <c r="B4" s="4">
        <v>1</v>
      </c>
      <c r="C4" s="30" t="s">
        <v>42</v>
      </c>
      <c r="D4" s="4" t="s">
        <v>39</v>
      </c>
      <c r="E4" s="4" t="s">
        <v>40</v>
      </c>
      <c r="F4" s="3" t="s">
        <v>14</v>
      </c>
      <c r="G4" s="4" t="s">
        <v>24</v>
      </c>
      <c r="H4" s="4">
        <v>167</v>
      </c>
      <c r="I4" s="5" t="s">
        <v>23</v>
      </c>
      <c r="J4" s="16" t="s">
        <v>59</v>
      </c>
      <c r="K4" s="5">
        <v>20</v>
      </c>
      <c r="L4" s="5">
        <v>17</v>
      </c>
      <c r="M4" s="4" t="s">
        <v>51</v>
      </c>
      <c r="N4" s="4" t="s">
        <v>5</v>
      </c>
      <c r="O4" s="20" t="s">
        <v>77</v>
      </c>
      <c r="P4" s="4">
        <v>49.18</v>
      </c>
      <c r="Q4" s="20">
        <v>0.59240000000000004</v>
      </c>
      <c r="R4" s="4">
        <f t="shared" si="0"/>
        <v>0</v>
      </c>
      <c r="S4" s="4">
        <f>IFERROR(
  SUMIFS($L$2:$L$21,$C$2:$C$21,$C4,$P$2:$P$21,"&gt;=50")
  /
  SUMIF($C$2:$C$21,$C4,$L$2:$L$21),0)</f>
        <v>0.5641025641025641</v>
      </c>
    </row>
    <row r="5" spans="1:19" ht="59" customHeight="1" x14ac:dyDescent="0.2">
      <c r="A5" s="9" t="s">
        <v>84</v>
      </c>
      <c r="B5" s="4">
        <v>1</v>
      </c>
      <c r="C5" s="30" t="s">
        <v>42</v>
      </c>
      <c r="D5" s="4" t="s">
        <v>39</v>
      </c>
      <c r="E5" s="4" t="s">
        <v>40</v>
      </c>
      <c r="F5" s="3" t="s">
        <v>14</v>
      </c>
      <c r="G5" s="4" t="s">
        <v>25</v>
      </c>
      <c r="H5" s="4">
        <v>168</v>
      </c>
      <c r="I5" s="5" t="s">
        <v>22</v>
      </c>
      <c r="J5" s="16" t="s">
        <v>60</v>
      </c>
      <c r="K5" s="5">
        <v>22</v>
      </c>
      <c r="L5" s="5">
        <v>22</v>
      </c>
      <c r="M5" s="4" t="s">
        <v>6</v>
      </c>
      <c r="N5" s="4" t="s">
        <v>53</v>
      </c>
      <c r="O5" s="20" t="s">
        <v>77</v>
      </c>
      <c r="P5" s="4">
        <v>52.06</v>
      </c>
      <c r="Q5" s="20">
        <v>0.67130000000000001</v>
      </c>
      <c r="R5" s="4">
        <f t="shared" si="0"/>
        <v>0</v>
      </c>
      <c r="S5" s="4">
        <f t="shared" ref="S5:S21" si="1">IFERROR(
  SUMIFS($L$2:$L$21,$C$2:$C$21,$C5,$P$2:$P$21,"&gt;=50")
  /
  SUMIF($C$2:$C$21,$C5,$L$2:$L$21),0)</f>
        <v>0.5641025641025641</v>
      </c>
    </row>
    <row r="6" spans="1:19" ht="16" x14ac:dyDescent="0.2">
      <c r="A6" s="33" t="s">
        <v>85</v>
      </c>
      <c r="B6" s="4">
        <v>1</v>
      </c>
      <c r="C6" s="27" t="s">
        <v>43</v>
      </c>
      <c r="D6" s="4" t="s">
        <v>39</v>
      </c>
      <c r="E6" s="4" t="s">
        <v>40</v>
      </c>
      <c r="F6" s="4" t="s">
        <v>15</v>
      </c>
      <c r="G6" s="4" t="s">
        <v>26</v>
      </c>
      <c r="H6" s="4">
        <v>380</v>
      </c>
      <c r="I6" s="5" t="s">
        <v>22</v>
      </c>
      <c r="J6" s="17" t="s">
        <v>61</v>
      </c>
      <c r="K6" s="5">
        <v>18</v>
      </c>
      <c r="L6" s="5">
        <v>18</v>
      </c>
      <c r="M6" s="4" t="s">
        <v>6</v>
      </c>
      <c r="N6" s="4" t="s">
        <v>54</v>
      </c>
      <c r="O6" s="20" t="s">
        <v>77</v>
      </c>
      <c r="P6" s="4">
        <v>76.819999999999993</v>
      </c>
      <c r="Q6" s="20">
        <v>0.88939999999999997</v>
      </c>
      <c r="R6" s="4">
        <f>IFERROR(
  SUMIFS($L$2:$L$21,$C$2:$C$21,$C6,$P$2:$P$21,"&lt;=25")
  /
  SUMIF($C$2:$C$21,$C6,$L$2:$L$21),0)</f>
        <v>0</v>
      </c>
      <c r="S6" s="4">
        <f t="shared" si="1"/>
        <v>1</v>
      </c>
    </row>
    <row r="7" spans="1:19" ht="16" x14ac:dyDescent="0.2">
      <c r="A7" s="33" t="s">
        <v>85</v>
      </c>
      <c r="B7" s="4">
        <v>1</v>
      </c>
      <c r="C7" s="27" t="s">
        <v>43</v>
      </c>
      <c r="D7" s="4" t="s">
        <v>39</v>
      </c>
      <c r="E7" s="4" t="s">
        <v>40</v>
      </c>
      <c r="F7" s="4" t="s">
        <v>15</v>
      </c>
      <c r="G7" s="4" t="s">
        <v>26</v>
      </c>
      <c r="H7" s="4">
        <v>381</v>
      </c>
      <c r="I7" s="5" t="s">
        <v>23</v>
      </c>
      <c r="J7" s="17" t="s">
        <v>62</v>
      </c>
      <c r="K7" s="5">
        <v>18</v>
      </c>
      <c r="L7" s="5">
        <v>18</v>
      </c>
      <c r="M7" s="4" t="s">
        <v>6</v>
      </c>
      <c r="N7" s="4" t="s">
        <v>54</v>
      </c>
      <c r="O7" s="20" t="s">
        <v>77</v>
      </c>
      <c r="P7" s="4">
        <v>76.819999999999993</v>
      </c>
      <c r="Q7" s="20">
        <v>0.88939999999999997</v>
      </c>
      <c r="R7" s="4">
        <f t="shared" si="0"/>
        <v>0</v>
      </c>
      <c r="S7" s="4">
        <f t="shared" si="1"/>
        <v>1</v>
      </c>
    </row>
    <row r="8" spans="1:19" ht="16" x14ac:dyDescent="0.2">
      <c r="A8" t="s">
        <v>90</v>
      </c>
      <c r="B8" s="4">
        <v>1</v>
      </c>
      <c r="C8" s="25" t="s">
        <v>44</v>
      </c>
      <c r="D8" s="4" t="s">
        <v>39</v>
      </c>
      <c r="E8" s="4" t="s">
        <v>40</v>
      </c>
      <c r="F8" s="3" t="s">
        <v>16</v>
      </c>
      <c r="G8" s="4" t="s">
        <v>27</v>
      </c>
      <c r="H8" s="4">
        <v>126</v>
      </c>
      <c r="I8" s="5" t="s">
        <v>22</v>
      </c>
      <c r="J8" s="16" t="s">
        <v>63</v>
      </c>
      <c r="K8" s="5">
        <v>18</v>
      </c>
      <c r="L8" s="5">
        <v>18</v>
      </c>
      <c r="M8" s="4" t="s">
        <v>6</v>
      </c>
      <c r="N8" s="4" t="s">
        <v>55</v>
      </c>
      <c r="O8" s="20" t="s">
        <v>77</v>
      </c>
      <c r="P8" s="4">
        <v>9.6</v>
      </c>
      <c r="Q8" s="20">
        <v>0.2717</v>
      </c>
      <c r="R8" s="4">
        <f t="shared" si="0"/>
        <v>1</v>
      </c>
      <c r="S8" s="4">
        <f t="shared" si="1"/>
        <v>0</v>
      </c>
    </row>
    <row r="9" spans="1:19" ht="16" x14ac:dyDescent="0.2">
      <c r="A9" t="s">
        <v>90</v>
      </c>
      <c r="B9" s="4">
        <v>1</v>
      </c>
      <c r="C9" s="26" t="s">
        <v>44</v>
      </c>
      <c r="D9" s="4" t="s">
        <v>39</v>
      </c>
      <c r="E9" s="4" t="s">
        <v>40</v>
      </c>
      <c r="F9" s="3" t="s">
        <v>16</v>
      </c>
      <c r="G9" s="4" t="s">
        <v>27</v>
      </c>
      <c r="H9" s="4">
        <v>127</v>
      </c>
      <c r="I9" s="5" t="s">
        <v>23</v>
      </c>
      <c r="J9" s="16" t="s">
        <v>64</v>
      </c>
      <c r="K9" s="5">
        <v>18</v>
      </c>
      <c r="L9" s="5">
        <v>18</v>
      </c>
      <c r="M9" s="4" t="s">
        <v>6</v>
      </c>
      <c r="N9" s="4" t="s">
        <v>55</v>
      </c>
      <c r="O9" s="20" t="s">
        <v>77</v>
      </c>
      <c r="P9" s="4">
        <v>9.6</v>
      </c>
      <c r="Q9" s="20">
        <v>0.2717</v>
      </c>
      <c r="R9" s="4">
        <f t="shared" si="0"/>
        <v>1</v>
      </c>
      <c r="S9" s="4">
        <f t="shared" si="1"/>
        <v>0</v>
      </c>
    </row>
    <row r="10" spans="1:19" ht="16" customHeight="1" x14ac:dyDescent="0.2">
      <c r="A10" t="s">
        <v>91</v>
      </c>
      <c r="B10" s="4">
        <v>1</v>
      </c>
      <c r="C10" s="25" t="s">
        <v>45</v>
      </c>
      <c r="D10" s="4" t="s">
        <v>39</v>
      </c>
      <c r="E10" s="4" t="s">
        <v>40</v>
      </c>
      <c r="F10" s="4" t="s">
        <v>17</v>
      </c>
      <c r="G10" s="4" t="s">
        <v>28</v>
      </c>
      <c r="H10" s="4">
        <v>258</v>
      </c>
      <c r="I10" s="5" t="s">
        <v>22</v>
      </c>
      <c r="J10" s="17" t="s">
        <v>65</v>
      </c>
      <c r="K10" s="5">
        <v>19</v>
      </c>
      <c r="L10" s="5">
        <v>19</v>
      </c>
      <c r="M10" s="4" t="s">
        <v>51</v>
      </c>
      <c r="N10" s="4" t="s">
        <v>5</v>
      </c>
      <c r="O10" s="20" t="s">
        <v>77</v>
      </c>
      <c r="P10" s="4">
        <v>10.41</v>
      </c>
      <c r="Q10" s="20">
        <v>0.27310000000000001</v>
      </c>
      <c r="R10" s="4">
        <f t="shared" si="0"/>
        <v>1</v>
      </c>
      <c r="S10" s="4">
        <f t="shared" si="1"/>
        <v>0</v>
      </c>
    </row>
    <row r="11" spans="1:19" ht="18" customHeight="1" x14ac:dyDescent="0.2">
      <c r="A11" t="s">
        <v>91</v>
      </c>
      <c r="B11" s="4">
        <v>1</v>
      </c>
      <c r="C11" s="26" t="s">
        <v>45</v>
      </c>
      <c r="D11" s="4" t="s">
        <v>39</v>
      </c>
      <c r="E11" s="4" t="s">
        <v>40</v>
      </c>
      <c r="F11" s="4" t="s">
        <v>17</v>
      </c>
      <c r="G11" s="4" t="s">
        <v>28</v>
      </c>
      <c r="H11" s="4">
        <v>259</v>
      </c>
      <c r="I11" s="5" t="s">
        <v>23</v>
      </c>
      <c r="J11" s="17" t="s">
        <v>66</v>
      </c>
      <c r="K11" s="5">
        <v>19</v>
      </c>
      <c r="L11" s="5">
        <v>19</v>
      </c>
      <c r="M11" s="4" t="s">
        <v>51</v>
      </c>
      <c r="N11" s="4"/>
      <c r="O11" s="20" t="s">
        <v>77</v>
      </c>
      <c r="P11" s="4">
        <v>10.41</v>
      </c>
      <c r="Q11" s="20">
        <v>0.27310000000000001</v>
      </c>
      <c r="R11" s="4">
        <f t="shared" si="0"/>
        <v>1</v>
      </c>
      <c r="S11" s="4">
        <f t="shared" si="1"/>
        <v>0</v>
      </c>
    </row>
    <row r="12" spans="1:19" ht="16" x14ac:dyDescent="0.2">
      <c r="A12" s="33" t="s">
        <v>86</v>
      </c>
      <c r="B12" s="4">
        <v>1</v>
      </c>
      <c r="C12" s="28" t="s">
        <v>46</v>
      </c>
      <c r="D12" s="4" t="s">
        <v>39</v>
      </c>
      <c r="E12" s="4" t="s">
        <v>40</v>
      </c>
      <c r="F12" s="3" t="s">
        <v>29</v>
      </c>
      <c r="G12" s="4" t="s">
        <v>30</v>
      </c>
      <c r="H12" s="4">
        <v>442</v>
      </c>
      <c r="I12" s="5" t="s">
        <v>22</v>
      </c>
      <c r="J12" s="16" t="s">
        <v>67</v>
      </c>
      <c r="K12" s="14">
        <v>21</v>
      </c>
      <c r="L12" s="14">
        <v>17</v>
      </c>
      <c r="M12" s="4" t="s">
        <v>6</v>
      </c>
      <c r="N12" s="4" t="s">
        <v>54</v>
      </c>
      <c r="O12" s="20" t="s">
        <v>77</v>
      </c>
      <c r="P12" s="4">
        <v>80.900000000000006</v>
      </c>
      <c r="Q12" s="20">
        <v>0.94239999999999902</v>
      </c>
      <c r="R12" s="4">
        <f t="shared" si="0"/>
        <v>0</v>
      </c>
      <c r="S12" s="4">
        <f t="shared" si="1"/>
        <v>1</v>
      </c>
    </row>
    <row r="13" spans="1:19" ht="16" x14ac:dyDescent="0.2">
      <c r="A13" s="33" t="s">
        <v>86</v>
      </c>
      <c r="B13" s="4">
        <v>1</v>
      </c>
      <c r="C13" s="29" t="s">
        <v>46</v>
      </c>
      <c r="D13" s="4" t="s">
        <v>39</v>
      </c>
      <c r="E13" s="4" t="s">
        <v>40</v>
      </c>
      <c r="F13" s="3" t="s">
        <v>29</v>
      </c>
      <c r="G13" s="4" t="s">
        <v>30</v>
      </c>
      <c r="H13" s="4">
        <v>443</v>
      </c>
      <c r="I13" s="5" t="s">
        <v>23</v>
      </c>
      <c r="J13" s="16" t="s">
        <v>68</v>
      </c>
      <c r="K13" s="5">
        <v>20</v>
      </c>
      <c r="L13" s="5">
        <v>20</v>
      </c>
      <c r="M13" s="4" t="s">
        <v>6</v>
      </c>
      <c r="N13" s="4" t="s">
        <v>54</v>
      </c>
      <c r="O13" s="20" t="s">
        <v>77</v>
      </c>
      <c r="P13" s="4">
        <v>80.900000000000006</v>
      </c>
      <c r="Q13" s="20">
        <v>0.94239999999999902</v>
      </c>
      <c r="R13" s="4">
        <f t="shared" si="0"/>
        <v>0</v>
      </c>
      <c r="S13" s="4">
        <f t="shared" si="1"/>
        <v>1</v>
      </c>
    </row>
    <row r="14" spans="1:19" ht="16" x14ac:dyDescent="0.2">
      <c r="A14" s="33" t="s">
        <v>87</v>
      </c>
      <c r="B14" s="4">
        <v>1</v>
      </c>
      <c r="C14" s="25" t="s">
        <v>47</v>
      </c>
      <c r="D14" s="4" t="s">
        <v>39</v>
      </c>
      <c r="E14" s="4" t="s">
        <v>40</v>
      </c>
      <c r="F14" s="6" t="s">
        <v>31</v>
      </c>
      <c r="G14" s="4" t="s">
        <v>32</v>
      </c>
      <c r="H14" s="4">
        <v>138</v>
      </c>
      <c r="I14" s="5" t="s">
        <v>22</v>
      </c>
      <c r="J14" s="18" t="s">
        <v>69</v>
      </c>
      <c r="K14" s="5">
        <v>20</v>
      </c>
      <c r="L14" s="5">
        <v>20</v>
      </c>
      <c r="M14" s="4" t="s">
        <v>51</v>
      </c>
      <c r="N14" s="4" t="s">
        <v>5</v>
      </c>
      <c r="O14" s="20" t="s">
        <v>77</v>
      </c>
      <c r="P14" s="4">
        <v>15.32</v>
      </c>
      <c r="Q14" s="22">
        <v>0.45189999999999902</v>
      </c>
      <c r="R14" s="4">
        <f t="shared" si="0"/>
        <v>1</v>
      </c>
      <c r="S14" s="4">
        <f t="shared" si="1"/>
        <v>0</v>
      </c>
    </row>
    <row r="15" spans="1:19" ht="16" x14ac:dyDescent="0.2">
      <c r="A15" s="33" t="s">
        <v>87</v>
      </c>
      <c r="B15" s="4">
        <v>1</v>
      </c>
      <c r="C15" s="26" t="s">
        <v>47</v>
      </c>
      <c r="D15" s="4" t="s">
        <v>39</v>
      </c>
      <c r="E15" s="4" t="s">
        <v>40</v>
      </c>
      <c r="F15" s="6" t="s">
        <v>31</v>
      </c>
      <c r="G15" s="4" t="s">
        <v>32</v>
      </c>
      <c r="H15" s="4">
        <v>139</v>
      </c>
      <c r="I15" s="5" t="s">
        <v>23</v>
      </c>
      <c r="J15" s="18" t="s">
        <v>70</v>
      </c>
      <c r="K15" s="5">
        <v>20</v>
      </c>
      <c r="L15" s="5">
        <v>20</v>
      </c>
      <c r="M15" s="4" t="s">
        <v>51</v>
      </c>
      <c r="N15" s="4"/>
      <c r="O15" s="20" t="s">
        <v>77</v>
      </c>
      <c r="P15" s="4">
        <v>15.32</v>
      </c>
      <c r="Q15" s="20">
        <v>0.45189999999999902</v>
      </c>
      <c r="R15" s="4">
        <f t="shared" si="0"/>
        <v>1</v>
      </c>
      <c r="S15" s="4">
        <f t="shared" si="1"/>
        <v>0</v>
      </c>
    </row>
    <row r="16" spans="1:19" ht="16" x14ac:dyDescent="0.2">
      <c r="A16" s="33" t="s">
        <v>88</v>
      </c>
      <c r="B16" s="4">
        <v>1</v>
      </c>
      <c r="C16" s="25" t="s">
        <v>48</v>
      </c>
      <c r="D16" s="4" t="s">
        <v>39</v>
      </c>
      <c r="E16" s="4" t="s">
        <v>40</v>
      </c>
      <c r="F16" s="6" t="s">
        <v>18</v>
      </c>
      <c r="G16" s="4" t="s">
        <v>33</v>
      </c>
      <c r="H16" s="4">
        <v>636</v>
      </c>
      <c r="I16" s="5" t="s">
        <v>22</v>
      </c>
      <c r="J16" s="6" t="s">
        <v>71</v>
      </c>
      <c r="K16" s="5">
        <v>20</v>
      </c>
      <c r="L16" s="5">
        <v>20</v>
      </c>
      <c r="M16" s="4" t="s">
        <v>51</v>
      </c>
      <c r="N16" s="4" t="s">
        <v>5</v>
      </c>
      <c r="O16" s="20" t="s">
        <v>77</v>
      </c>
      <c r="P16" s="4">
        <v>13.41</v>
      </c>
      <c r="Q16" s="20">
        <v>0.35099999999999998</v>
      </c>
      <c r="R16" s="4">
        <f t="shared" si="0"/>
        <v>1</v>
      </c>
      <c r="S16" s="4">
        <f t="shared" si="1"/>
        <v>0</v>
      </c>
    </row>
    <row r="17" spans="1:19" ht="16" x14ac:dyDescent="0.2">
      <c r="A17" s="33" t="s">
        <v>88</v>
      </c>
      <c r="B17" s="4">
        <v>1</v>
      </c>
      <c r="C17" s="26" t="s">
        <v>48</v>
      </c>
      <c r="D17" s="4" t="s">
        <v>39</v>
      </c>
      <c r="E17" s="4" t="s">
        <v>40</v>
      </c>
      <c r="F17" s="6" t="s">
        <v>18</v>
      </c>
      <c r="G17" s="4" t="s">
        <v>33</v>
      </c>
      <c r="H17" s="4">
        <v>637</v>
      </c>
      <c r="I17" s="5" t="s">
        <v>23</v>
      </c>
      <c r="J17" s="6" t="s">
        <v>72</v>
      </c>
      <c r="K17" s="5">
        <v>20</v>
      </c>
      <c r="L17" s="5">
        <v>20</v>
      </c>
      <c r="M17" s="4" t="s">
        <v>51</v>
      </c>
      <c r="N17" s="4"/>
      <c r="O17" s="20" t="s">
        <v>77</v>
      </c>
      <c r="P17" s="4">
        <v>13.41</v>
      </c>
      <c r="Q17" s="20">
        <v>0.35099999999999998</v>
      </c>
      <c r="R17" s="4">
        <f t="shared" si="0"/>
        <v>1</v>
      </c>
      <c r="S17" s="4">
        <f t="shared" si="1"/>
        <v>0</v>
      </c>
    </row>
    <row r="18" spans="1:19" ht="16" x14ac:dyDescent="0.2">
      <c r="A18" s="33" t="s">
        <v>89</v>
      </c>
      <c r="B18" s="4">
        <v>1</v>
      </c>
      <c r="C18" s="31" t="s">
        <v>49</v>
      </c>
      <c r="D18" s="4" t="s">
        <v>39</v>
      </c>
      <c r="E18" s="4" t="s">
        <v>40</v>
      </c>
      <c r="F18" s="6" t="s">
        <v>19</v>
      </c>
      <c r="G18" s="4" t="s">
        <v>34</v>
      </c>
      <c r="H18" s="4">
        <v>134</v>
      </c>
      <c r="I18" s="5" t="s">
        <v>22</v>
      </c>
      <c r="J18" s="6" t="s">
        <v>73</v>
      </c>
      <c r="K18" s="5">
        <v>20</v>
      </c>
      <c r="L18" s="5">
        <v>12</v>
      </c>
      <c r="M18" s="4" t="s">
        <v>51</v>
      </c>
      <c r="N18" s="4" t="s">
        <v>5</v>
      </c>
      <c r="O18" s="20" t="s">
        <v>77</v>
      </c>
      <c r="P18" s="4">
        <v>31.83</v>
      </c>
      <c r="Q18" s="20">
        <v>0.4703</v>
      </c>
      <c r="R18" s="4">
        <f t="shared" si="0"/>
        <v>0</v>
      </c>
      <c r="S18" s="4">
        <f t="shared" si="1"/>
        <v>0</v>
      </c>
    </row>
    <row r="19" spans="1:19" ht="16" x14ac:dyDescent="0.2">
      <c r="A19" s="33" t="s">
        <v>89</v>
      </c>
      <c r="B19" s="4">
        <v>1</v>
      </c>
      <c r="C19" s="32" t="s">
        <v>49</v>
      </c>
      <c r="D19" s="4" t="s">
        <v>39</v>
      </c>
      <c r="E19" s="4" t="s">
        <v>40</v>
      </c>
      <c r="F19" s="6" t="s">
        <v>19</v>
      </c>
      <c r="G19" s="4" t="s">
        <v>34</v>
      </c>
      <c r="H19" s="4">
        <v>135</v>
      </c>
      <c r="I19" s="5" t="s">
        <v>23</v>
      </c>
      <c r="J19" s="6" t="s">
        <v>74</v>
      </c>
      <c r="K19" s="5">
        <v>20</v>
      </c>
      <c r="L19" s="5">
        <v>20</v>
      </c>
      <c r="M19" s="4" t="s">
        <v>51</v>
      </c>
      <c r="N19" s="4"/>
      <c r="O19" s="20" t="s">
        <v>77</v>
      </c>
      <c r="P19" s="4">
        <v>31.83</v>
      </c>
      <c r="Q19" s="20">
        <v>0.4703</v>
      </c>
      <c r="R19" s="4">
        <f t="shared" si="0"/>
        <v>0</v>
      </c>
      <c r="S19" s="4">
        <f t="shared" si="1"/>
        <v>0</v>
      </c>
    </row>
    <row r="20" spans="1:19" ht="16" x14ac:dyDescent="0.2">
      <c r="A20" s="9" t="s">
        <v>36</v>
      </c>
      <c r="B20" s="4">
        <v>1</v>
      </c>
      <c r="C20" s="31" t="s">
        <v>50</v>
      </c>
      <c r="D20" s="4" t="s">
        <v>39</v>
      </c>
      <c r="E20" s="4" t="s">
        <v>40</v>
      </c>
      <c r="F20" s="3" t="s">
        <v>35</v>
      </c>
      <c r="G20" s="4" t="s">
        <v>37</v>
      </c>
      <c r="H20" s="4">
        <v>210</v>
      </c>
      <c r="I20" s="5" t="s">
        <v>22</v>
      </c>
      <c r="J20" s="3" t="s">
        <v>75</v>
      </c>
      <c r="K20" s="5">
        <v>20</v>
      </c>
      <c r="L20" s="5">
        <v>19</v>
      </c>
      <c r="M20" s="4" t="s">
        <v>51</v>
      </c>
      <c r="N20" s="4" t="s">
        <v>5</v>
      </c>
      <c r="O20" s="20" t="s">
        <v>77</v>
      </c>
      <c r="P20" s="4">
        <v>34.619999999999997</v>
      </c>
      <c r="Q20" s="20">
        <v>0.55649999999999999</v>
      </c>
      <c r="R20" s="4">
        <f t="shared" si="0"/>
        <v>0</v>
      </c>
      <c r="S20" s="4">
        <f t="shared" si="1"/>
        <v>0</v>
      </c>
    </row>
    <row r="21" spans="1:19" ht="17" thickBot="1" x14ac:dyDescent="0.25">
      <c r="A21" s="10" t="s">
        <v>36</v>
      </c>
      <c r="B21" s="11">
        <v>1</v>
      </c>
      <c r="C21" s="32" t="s">
        <v>50</v>
      </c>
      <c r="D21" s="4" t="s">
        <v>39</v>
      </c>
      <c r="E21" s="4" t="s">
        <v>40</v>
      </c>
      <c r="F21" s="19" t="s">
        <v>35</v>
      </c>
      <c r="G21" s="12" t="s">
        <v>37</v>
      </c>
      <c r="H21" s="12">
        <v>211</v>
      </c>
      <c r="I21" s="13" t="s">
        <v>23</v>
      </c>
      <c r="J21" s="3" t="s">
        <v>76</v>
      </c>
      <c r="K21" s="13">
        <v>20</v>
      </c>
      <c r="L21" s="13">
        <v>14</v>
      </c>
      <c r="M21" s="4" t="s">
        <v>51</v>
      </c>
      <c r="N21" s="11"/>
      <c r="O21" s="20" t="s">
        <v>77</v>
      </c>
      <c r="P21" s="4">
        <v>34.619999999999997</v>
      </c>
      <c r="Q21" s="20">
        <v>0.55649999999999999</v>
      </c>
      <c r="R21" s="4">
        <f t="shared" si="0"/>
        <v>0</v>
      </c>
      <c r="S21" s="4">
        <f t="shared" si="1"/>
        <v>0</v>
      </c>
    </row>
    <row r="22" spans="1:19" x14ac:dyDescent="0.2">
      <c r="A22" s="1"/>
      <c r="B22" s="1"/>
      <c r="C22" s="1"/>
      <c r="D22" s="1"/>
      <c r="E22" s="1"/>
      <c r="F22" s="1"/>
      <c r="G22" s="1"/>
      <c r="H22" s="1"/>
      <c r="I22" s="2"/>
      <c r="J22" s="2"/>
      <c r="K22" s="2"/>
      <c r="L22" s="2"/>
      <c r="M22" s="1"/>
      <c r="N22" s="1"/>
      <c r="O22" s="1"/>
      <c r="P22" s="1"/>
      <c r="Q22" s="1"/>
      <c r="R22" s="1"/>
      <c r="S22" s="1"/>
    </row>
    <row r="23" spans="1:19" x14ac:dyDescent="0.2">
      <c r="A23" s="1"/>
      <c r="B23" s="1"/>
      <c r="C23" s="1"/>
      <c r="D23" s="1"/>
      <c r="E23" s="1"/>
      <c r="F23" s="1"/>
      <c r="G23" s="1"/>
      <c r="H23" s="1"/>
      <c r="I23" s="2"/>
      <c r="J23" s="2"/>
      <c r="K23" s="2"/>
      <c r="L23" s="2"/>
      <c r="M23" s="1"/>
      <c r="N23" s="1"/>
      <c r="O23" s="1"/>
      <c r="P23" s="1"/>
      <c r="Q23" s="1"/>
      <c r="R23" s="1"/>
      <c r="S23" s="1"/>
    </row>
    <row r="24" spans="1:19" x14ac:dyDescent="0.2">
      <c r="A24" s="1"/>
      <c r="B24" s="1"/>
      <c r="C24" s="1"/>
      <c r="D24" s="1"/>
      <c r="E24" s="1"/>
      <c r="F24" s="1"/>
      <c r="G24" s="1"/>
      <c r="H24" s="1"/>
      <c r="I24" s="2"/>
      <c r="J24" s="2"/>
      <c r="K24" s="2"/>
      <c r="L24" s="2"/>
      <c r="M24" s="1"/>
      <c r="N24" s="1"/>
      <c r="O24" s="1"/>
      <c r="P24" s="1"/>
      <c r="Q24" s="1"/>
      <c r="R24" s="1"/>
      <c r="S24" s="1"/>
    </row>
    <row r="25" spans="1:19" x14ac:dyDescent="0.2">
      <c r="A25" s="1"/>
      <c r="B25" s="1"/>
      <c r="C25" s="1"/>
      <c r="D25" s="1"/>
      <c r="E25" s="1"/>
      <c r="F25" s="1"/>
      <c r="G25" s="1"/>
      <c r="H25" s="1"/>
      <c r="I25" s="2"/>
      <c r="J25" s="2"/>
      <c r="K25" s="2"/>
      <c r="L25" s="2"/>
      <c r="M25" s="1"/>
      <c r="N25" s="1"/>
      <c r="O25" s="1"/>
      <c r="P25" s="1"/>
      <c r="Q25" s="1"/>
      <c r="R25" s="1"/>
      <c r="S25" s="1"/>
    </row>
    <row r="26" spans="1:19" x14ac:dyDescent="0.2">
      <c r="A26" s="1"/>
      <c r="B26" s="1"/>
      <c r="C26" s="1"/>
      <c r="D26" s="1"/>
      <c r="E26" s="1"/>
      <c r="F26" s="1"/>
      <c r="G26" s="1"/>
      <c r="H26" s="1"/>
      <c r="I26" s="2"/>
      <c r="J26" s="2"/>
      <c r="K26" s="2"/>
      <c r="L26" s="2"/>
      <c r="M26" s="1"/>
      <c r="N26" s="1"/>
      <c r="O26" s="1"/>
      <c r="P26" s="1"/>
      <c r="Q26" s="1"/>
      <c r="R26" s="1"/>
      <c r="S26" s="1"/>
    </row>
    <row r="27" spans="1:19" x14ac:dyDescent="0.2">
      <c r="A27" s="1"/>
      <c r="B27" s="1"/>
      <c r="C27" s="1"/>
      <c r="D27" s="1"/>
      <c r="E27" s="1"/>
      <c r="F27" s="1"/>
      <c r="G27" s="1"/>
      <c r="H27" s="1"/>
      <c r="I27" s="2"/>
      <c r="J27" s="2"/>
      <c r="K27" s="2"/>
      <c r="L27" s="2"/>
      <c r="M27" s="1"/>
      <c r="N27" s="1"/>
      <c r="O27" s="1"/>
      <c r="P27" s="1"/>
      <c r="Q27" s="1"/>
      <c r="R27" s="1"/>
      <c r="S27" s="1"/>
    </row>
    <row r="28" spans="1:19" x14ac:dyDescent="0.2">
      <c r="A28" s="1"/>
      <c r="B28" s="1"/>
      <c r="C28" s="1"/>
      <c r="D28" s="1"/>
      <c r="E28" s="1"/>
      <c r="F28" s="1"/>
      <c r="G28" s="1"/>
      <c r="H28" s="1"/>
      <c r="I28" s="2"/>
      <c r="J28" s="2"/>
      <c r="K28" s="2"/>
      <c r="L28" s="2"/>
      <c r="M28" s="1"/>
      <c r="N28" s="1"/>
      <c r="O28" s="1"/>
      <c r="P28" s="1"/>
      <c r="Q28" s="1"/>
      <c r="R28" s="1"/>
      <c r="S28" s="1"/>
    </row>
    <row r="29" spans="1:19" x14ac:dyDescent="0.2">
      <c r="A29" s="1"/>
      <c r="B29" s="1"/>
      <c r="C29" s="1"/>
      <c r="D29" s="1"/>
      <c r="E29" s="1"/>
      <c r="F29" s="1"/>
      <c r="G29" s="1"/>
      <c r="H29" s="1"/>
      <c r="I29" s="2"/>
      <c r="J29" s="2"/>
      <c r="K29" s="2"/>
      <c r="L29" s="2"/>
      <c r="M29" s="1"/>
      <c r="N29" s="1"/>
      <c r="O29" s="1"/>
      <c r="P29" s="1"/>
      <c r="Q29" s="1"/>
      <c r="R29" s="1"/>
      <c r="S29" s="1"/>
    </row>
    <row r="30" spans="1:19" x14ac:dyDescent="0.2">
      <c r="A30" s="1"/>
      <c r="B30" s="1"/>
      <c r="C30" s="1"/>
      <c r="D30" s="1"/>
      <c r="E30" s="1"/>
      <c r="F30" s="1"/>
      <c r="G30" s="1"/>
      <c r="H30" s="1"/>
      <c r="I30" s="2"/>
      <c r="J30" s="2"/>
      <c r="K30" s="2"/>
      <c r="L30" s="2"/>
      <c r="M30" s="1"/>
      <c r="N30" s="1"/>
      <c r="O30" s="1"/>
      <c r="P30" s="1"/>
      <c r="Q30" s="1"/>
      <c r="R30" s="1"/>
      <c r="S30" s="1"/>
    </row>
    <row r="31" spans="1:19" x14ac:dyDescent="0.2">
      <c r="A31" s="1"/>
      <c r="B31" s="1"/>
      <c r="C31" s="1"/>
      <c r="D31" s="1"/>
      <c r="E31" s="1"/>
      <c r="F31" s="1"/>
      <c r="G31" s="1"/>
      <c r="H31" s="1"/>
      <c r="I31" s="2"/>
      <c r="J31" s="2"/>
      <c r="K31" s="2"/>
      <c r="L31" s="2"/>
      <c r="M31" s="1"/>
      <c r="N31" s="1"/>
      <c r="O31" s="1"/>
      <c r="P31" s="1"/>
      <c r="Q31" s="1"/>
      <c r="R31" s="1"/>
      <c r="S31" s="1"/>
    </row>
  </sheetData>
  <phoneticPr fontId="3" type="noConversion"/>
  <conditionalFormatting sqref="A2:K2 O2:S2 L2:N3 F3:K3 A3:C7 O3:Q13 D3:E21 R3:S21 G4:I5 K4:N5 F6:N11 A8:B11 K12:L12 B12:B13 F12:J13 M12:N13 O14:P14 A14:B21 F14:N21 O15:Q21 A22:S31">
    <cfRule type="expression" dxfId="3" priority="9">
      <formula>$M2="bad"</formula>
    </cfRule>
    <cfRule type="expression" dxfId="2" priority="10">
      <formula>$O2="done"</formula>
    </cfRule>
  </conditionalFormatting>
  <conditionalFormatting sqref="K13:L13">
    <cfRule type="expression" dxfId="1" priority="51">
      <formula>$M12="bad"</formula>
    </cfRule>
    <cfRule type="expression" dxfId="0" priority="52">
      <formula>$O12="done"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Evgeniia Vdovichenko - evgeniia.vdovichenko@studio.uni</cp:lastModifiedBy>
  <dcterms:created xsi:type="dcterms:W3CDTF">2025-12-23T11:13:20Z</dcterms:created>
  <dcterms:modified xsi:type="dcterms:W3CDTF">2026-02-17T00:11:07Z</dcterms:modified>
</cp:coreProperties>
</file>