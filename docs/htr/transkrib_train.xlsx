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7DECC9CC-BEAD-9442-92B1-E62B4CCF921D}" xr6:coauthVersionLast="47" xr6:coauthVersionMax="47" xr10:uidLastSave="{00000000-0000-0000-0000-000000000000}"/>
  <bookViews>
    <workbookView xWindow="0" yWindow="680" windowWidth="31700" windowHeight="18440" xr2:uid="{00000000-000D-0000-FFFF-FFFF00000000}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R3" i="1"/>
  <c r="R4" i="1"/>
  <c r="R5" i="1"/>
  <c r="R7" i="1"/>
  <c r="R8" i="1"/>
  <c r="R9" i="1"/>
  <c r="R11" i="1"/>
  <c r="R13" i="1"/>
  <c r="R14" i="1"/>
  <c r="R2" i="1"/>
  <c r="Q3" i="1"/>
  <c r="Q4" i="1"/>
  <c r="Q7" i="1"/>
  <c r="Q8" i="1"/>
  <c r="Q9" i="1"/>
  <c r="Q11" i="1"/>
  <c r="Q13" i="1"/>
  <c r="Q14" i="1"/>
  <c r="Q2" i="1"/>
</calcChain>
</file>

<file path=xl/sharedStrings.xml><?xml version="1.0" encoding="utf-8"?>
<sst xmlns="http://schemas.openxmlformats.org/spreadsheetml/2006/main" count="168" uniqueCount="98">
  <si>
    <t>image_filename</t>
  </si>
  <si>
    <t>page_no</t>
  </si>
  <si>
    <t>lines_selected</t>
  </si>
  <si>
    <t>major_issues</t>
  </si>
  <si>
    <t>ok</t>
  </si>
  <si>
    <t>collector_ids</t>
  </si>
  <si>
    <t>collector_count</t>
  </si>
  <si>
    <t>handwriting_id</t>
  </si>
  <si>
    <t>handwriting_status (unknown/assigned)</t>
  </si>
  <si>
    <t>handwriting_confidence (low | medium | high)</t>
  </si>
  <si>
    <t>tale_id</t>
  </si>
  <si>
    <t>page_side</t>
  </si>
  <si>
    <t>L</t>
  </si>
  <si>
    <t>R</t>
  </si>
  <si>
    <t>Egorov V.</t>
  </si>
  <si>
    <t>quality_hint (good|ok|bad)</t>
  </si>
  <si>
    <t>assigned</t>
  </si>
  <si>
    <t>high</t>
  </si>
  <si>
    <t>H01</t>
  </si>
  <si>
    <t>H03</t>
  </si>
  <si>
    <t>H06</t>
  </si>
  <si>
    <t>H07</t>
  </si>
  <si>
    <t>H08</t>
  </si>
  <si>
    <t>H09</t>
  </si>
  <si>
    <t>H10</t>
  </si>
  <si>
    <t>good</t>
  </si>
  <si>
    <t>lines_count</t>
  </si>
  <si>
    <t>page_id</t>
  </si>
  <si>
    <t>Koniaev Fedor</t>
  </si>
  <si>
    <t>Sokolov M.</t>
  </si>
  <si>
    <t xml:space="preserve">Sokolova Maria </t>
  </si>
  <si>
    <t>Gromova Olga</t>
  </si>
  <si>
    <t>Zhemchuzhina Zoya</t>
  </si>
  <si>
    <t>Brandt Olga</t>
  </si>
  <si>
    <t>CER</t>
  </si>
  <si>
    <t>WER</t>
  </si>
  <si>
    <t>p_CER_le_25_weighted</t>
  </si>
  <si>
    <t>p_CER_ge_50_weighted</t>
  </si>
  <si>
    <t>era_vene_2_161_14</t>
  </si>
  <si>
    <t>era_vene_6_406_8</t>
  </si>
  <si>
    <t>era_vene_5_507_1</t>
  </si>
  <si>
    <t>era_vene_12_105_22</t>
  </si>
  <si>
    <t>era_vene_13_106_14</t>
  </si>
  <si>
    <t>era_vene_15_308_4</t>
  </si>
  <si>
    <t>era_vene_8_223_147</t>
  </si>
  <si>
    <t>Dondukova Zoya</t>
  </si>
  <si>
    <t>era_vene_4_367_1</t>
  </si>
  <si>
    <t>Riumin-Ivanov Oleg</t>
  </si>
  <si>
    <t>era_vene_7_71_1</t>
  </si>
  <si>
    <t>Topkina Anastasiia Dorofeevna</t>
  </si>
  <si>
    <t>era_vene_1_503_1</t>
  </si>
  <si>
    <t>Tsvetkov Sergei Dimitrievich</t>
  </si>
  <si>
    <t>era_vene_1_515_1</t>
  </si>
  <si>
    <t>Vasilieva-Suvorova Z.</t>
  </si>
  <si>
    <t>era_vene_7_ 95_1</t>
  </si>
  <si>
    <t>Voogla Vera</t>
  </si>
  <si>
    <t>rkm_vene_1_82_47</t>
  </si>
  <si>
    <t>H11</t>
  </si>
  <si>
    <t>H12</t>
  </si>
  <si>
    <t>H13</t>
  </si>
  <si>
    <t>H14</t>
  </si>
  <si>
    <t>H15</t>
  </si>
  <si>
    <t>H16</t>
  </si>
  <si>
    <t>era_vene_02_162-163.jpg</t>
  </si>
  <si>
    <t>era_vene_01_514-515.jpg</t>
  </si>
  <si>
    <t>era_vene_07_096-097.jpg</t>
  </si>
  <si>
    <t>era_vene_06_406-407.jpg</t>
  </si>
  <si>
    <t>era_rkm_vene_01_082-083.jpg</t>
  </si>
  <si>
    <t>era_vene_05_508-509.jpg</t>
  </si>
  <si>
    <t>era_vene_12_104-105.jpg</t>
  </si>
  <si>
    <t>era_vene_12_189_1</t>
  </si>
  <si>
    <t>era_vene_12_188-189.jpg</t>
  </si>
  <si>
    <t>era_vene_13_106-107.jpg</t>
  </si>
  <si>
    <t>era_vene_15_308-309.jpg</t>
  </si>
  <si>
    <t>era_vene_08_222-223.jpg</t>
  </si>
  <si>
    <t>era_vene_04_366-367.jpg</t>
  </si>
  <si>
    <t>era_vene_07_070-071.jpg</t>
  </si>
  <si>
    <t>era_vene_01_501_&amp;_503.jpg</t>
  </si>
  <si>
    <t>era_vene_2_162</t>
  </si>
  <si>
    <t>era_vene_1_515</t>
  </si>
  <si>
    <t>era_vene_7_ 97</t>
  </si>
  <si>
    <t>era_vene_6_406</t>
  </si>
  <si>
    <t>era_vene_6_407</t>
  </si>
  <si>
    <t>rkm_vene_1_82</t>
  </si>
  <si>
    <t>era_vene_5_508</t>
  </si>
  <si>
    <t>era_vene_12_105</t>
  </si>
  <si>
    <t>era_vene_12_189</t>
  </si>
  <si>
    <t>era_vene_13_106</t>
  </si>
  <si>
    <t>era_vene_13_107</t>
  </si>
  <si>
    <t>era_vene_15_309</t>
  </si>
  <si>
    <t>era_vene_8_223</t>
  </si>
  <si>
    <t>era_vene_4_367</t>
  </si>
  <si>
    <t>era_vene_7_71</t>
  </si>
  <si>
    <t>era_vene_1_503</t>
  </si>
  <si>
    <t>Show-through from the previous page (verso text visible), pages are touching; gutter not visible</t>
  </si>
  <si>
    <t>Ink is faded in some areas</t>
  </si>
  <si>
    <t>No spacing between lines (lines are tightly packed)</t>
  </si>
  <si>
    <t>lines are tightly packed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</si>
</sst>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Noto San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8"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topLeftCell="F1" zoomScale="140" zoomScaleNormal="140" workbookViewId="0">
      <selection activeCell="M5" sqref="M5:N6"/>
    </sheetView>
  </sheetViews>
  <sheetFormatPr baseColWidth="10" defaultColWidth="8.83203125" defaultRowHeight="15" x14ac:dyDescent="0.2"/>
  <cols>
    <col min="1" max="1" width="18" hidden="1" customWidth="1"/>
    <col min="2" max="2" width="18.1640625" hidden="1" customWidth="1"/>
    <col min="3" max="5" width="18" hidden="1" customWidth="1"/>
    <col min="6" max="6" width="20" customWidth="1"/>
    <col min="7" max="7" width="24" customWidth="1"/>
    <col min="8" max="8" width="11.83203125" customWidth="1"/>
    <col min="9" max="9" width="10" customWidth="1"/>
    <col min="10" max="10" width="17.5" customWidth="1"/>
    <col min="11" max="11" width="12" customWidth="1"/>
    <col min="12" max="12" width="13" customWidth="1"/>
    <col min="13" max="13" width="12" customWidth="1"/>
    <col min="14" max="14" width="22" customWidth="1"/>
    <col min="15" max="18" width="14" customWidth="1"/>
  </cols>
  <sheetData>
    <row r="1" spans="1:18" ht="47" customHeight="1" x14ac:dyDescent="0.2">
      <c r="A1" s="6" t="s">
        <v>5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0</v>
      </c>
      <c r="H1" s="7" t="s">
        <v>1</v>
      </c>
      <c r="I1" s="7" t="s">
        <v>11</v>
      </c>
      <c r="J1" s="7" t="s">
        <v>27</v>
      </c>
      <c r="K1" s="7" t="s">
        <v>26</v>
      </c>
      <c r="L1" s="7" t="s">
        <v>2</v>
      </c>
      <c r="M1" s="7" t="s">
        <v>15</v>
      </c>
      <c r="N1" s="7" t="s">
        <v>3</v>
      </c>
      <c r="O1" s="16" t="s">
        <v>34</v>
      </c>
      <c r="P1" s="17" t="s">
        <v>35</v>
      </c>
      <c r="Q1" s="16" t="s">
        <v>36</v>
      </c>
      <c r="R1" s="16" t="s">
        <v>37</v>
      </c>
    </row>
    <row r="2" spans="1:18" ht="16" x14ac:dyDescent="0.2">
      <c r="A2" s="8" t="s">
        <v>28</v>
      </c>
      <c r="B2" s="4">
        <v>1</v>
      </c>
      <c r="C2" s="9" t="s">
        <v>18</v>
      </c>
      <c r="D2" s="4" t="s">
        <v>16</v>
      </c>
      <c r="E2" s="4" t="s">
        <v>17</v>
      </c>
      <c r="F2" s="8" t="s">
        <v>38</v>
      </c>
      <c r="G2" s="4" t="s">
        <v>63</v>
      </c>
      <c r="H2" s="4">
        <v>162</v>
      </c>
      <c r="I2" s="5" t="s">
        <v>12</v>
      </c>
      <c r="J2" s="8" t="s">
        <v>78</v>
      </c>
      <c r="K2" s="5"/>
      <c r="L2" s="5"/>
      <c r="M2" s="4" t="s">
        <v>25</v>
      </c>
      <c r="N2" s="4"/>
      <c r="O2" s="4"/>
      <c r="P2" s="4"/>
      <c r="Q2" s="4">
        <f>IFERROR(
  SUMIFS($L$2:$L$14,$C$2:$C$14,$C2,$O$2:$O$14,"&lt;=25")
  /
  SUMIF($C$2:$C$14,$C2,$L$2:$L$14),0)</f>
        <v>0</v>
      </c>
      <c r="R2" s="4">
        <f>IFERROR(
  SUMIFS($L$2:$L$14,$C$2:$C$14,$C2,$O$2:$O$14,"&gt;=50")
  /
  SUMIF($C$2:$C$14,$C2,$L$2:$L$14),0)</f>
        <v>0</v>
      </c>
    </row>
    <row r="3" spans="1:18" ht="32" x14ac:dyDescent="0.2">
      <c r="A3" s="18" t="s">
        <v>51</v>
      </c>
      <c r="B3" s="4">
        <v>1</v>
      </c>
      <c r="C3" s="4" t="s">
        <v>57</v>
      </c>
      <c r="D3" s="4" t="s">
        <v>16</v>
      </c>
      <c r="E3" s="4" t="s">
        <v>17</v>
      </c>
      <c r="F3" s="8" t="s">
        <v>52</v>
      </c>
      <c r="G3" s="4" t="s">
        <v>64</v>
      </c>
      <c r="H3" s="4">
        <v>515</v>
      </c>
      <c r="I3" s="5" t="s">
        <v>13</v>
      </c>
      <c r="J3" s="8" t="s">
        <v>79</v>
      </c>
      <c r="K3" s="5"/>
      <c r="L3" s="5"/>
      <c r="M3" s="4" t="s">
        <v>25</v>
      </c>
      <c r="N3" s="4"/>
      <c r="O3" s="4"/>
      <c r="P3" s="4"/>
      <c r="Q3" s="4">
        <f>IFERROR(
  SUMIFS($L$2:$L$14,$C$2:$C$14,$C3,$O$2:$O$14,"&lt;=25")
  /
  SUMIF($C$2:$C$14,$C3,$L$2:$L$14),0)</f>
        <v>0</v>
      </c>
      <c r="R3" s="4">
        <f>IFERROR(
  SUMIFS($L$2:$L$14,$C$2:$C$14,$C3,$O$2:$O$14,"&gt;=50")
  /
  SUMIF($C$2:$C$14,$C3,$L$2:$L$14),0)</f>
        <v>0</v>
      </c>
    </row>
    <row r="4" spans="1:18" ht="20" customHeight="1" x14ac:dyDescent="0.2">
      <c r="A4" s="8" t="s">
        <v>53</v>
      </c>
      <c r="B4" s="4">
        <v>1</v>
      </c>
      <c r="C4" s="4" t="s">
        <v>58</v>
      </c>
      <c r="D4" s="4" t="s">
        <v>16</v>
      </c>
      <c r="E4" s="4" t="s">
        <v>17</v>
      </c>
      <c r="F4" s="3" t="s">
        <v>54</v>
      </c>
      <c r="G4" s="4" t="s">
        <v>65</v>
      </c>
      <c r="H4" s="4">
        <v>97</v>
      </c>
      <c r="I4" s="5" t="s">
        <v>13</v>
      </c>
      <c r="J4" s="3" t="s">
        <v>80</v>
      </c>
      <c r="K4" s="5"/>
      <c r="L4" s="5"/>
      <c r="M4" s="4" t="s">
        <v>25</v>
      </c>
      <c r="N4" s="4"/>
      <c r="O4" s="4"/>
      <c r="P4" s="4"/>
      <c r="Q4" s="4">
        <f>IFERROR(
  SUMIFS($L$2:$L$14,$C$2:$C$14,$C4,$O$2:$O$14,"&lt;=25")
  /
  SUMIF($C$2:$C$14,$C4,$L$2:$L$14),0)</f>
        <v>0</v>
      </c>
      <c r="R4" s="4">
        <f>IFERROR(
  SUMIFS($L$2:$L$14,$C$2:$C$14,$C4,$O$2:$O$14,"&gt;=50")
  /
  SUMIF($C$2:$C$14,$C4,$L$2:$L$14),0)</f>
        <v>0</v>
      </c>
    </row>
    <row r="5" spans="1:18" ht="16" x14ac:dyDescent="0.2">
      <c r="A5" s="8" t="s">
        <v>29</v>
      </c>
      <c r="B5" s="4">
        <v>1</v>
      </c>
      <c r="C5" s="11" t="s">
        <v>19</v>
      </c>
      <c r="D5" s="4" t="s">
        <v>16</v>
      </c>
      <c r="E5" s="4" t="s">
        <v>17</v>
      </c>
      <c r="F5" s="8" t="s">
        <v>39</v>
      </c>
      <c r="G5" s="4" t="s">
        <v>66</v>
      </c>
      <c r="H5" s="4">
        <v>406</v>
      </c>
      <c r="I5" s="5" t="s">
        <v>12</v>
      </c>
      <c r="J5" s="8" t="s">
        <v>81</v>
      </c>
      <c r="K5" s="5"/>
      <c r="L5" s="5"/>
      <c r="M5" s="4" t="s">
        <v>4</v>
      </c>
      <c r="N5" s="4" t="s">
        <v>97</v>
      </c>
      <c r="O5" s="4"/>
      <c r="P5" s="4"/>
      <c r="Q5" s="4">
        <f>IFERROR(
  SUMIFS($L$2:$L$14,$C$2:$C$14,$C5,$O$2:$O$14,"&lt;=25")
  /
  SUMIF($C$2:$C$14,$C5,$L$2:$L$14),0)</f>
        <v>0</v>
      </c>
      <c r="R5" s="4">
        <f>IFERROR(
  SUMIFS($L$2:$L$14,$C$2:$C$14,$C5,$O$2:$O$14,"&gt;=50")
  /
  SUMIF($C$2:$C$14,$C5,$L$2:$L$14),0)</f>
        <v>0</v>
      </c>
    </row>
    <row r="6" spans="1:18" ht="16" x14ac:dyDescent="0.2">
      <c r="A6" s="8" t="s">
        <v>29</v>
      </c>
      <c r="B6" s="4">
        <v>1</v>
      </c>
      <c r="C6" s="11" t="s">
        <v>19</v>
      </c>
      <c r="D6" s="4" t="s">
        <v>16</v>
      </c>
      <c r="E6" s="4" t="s">
        <v>17</v>
      </c>
      <c r="F6" s="8" t="s">
        <v>39</v>
      </c>
      <c r="G6" s="4" t="s">
        <v>66</v>
      </c>
      <c r="H6" s="4">
        <v>407</v>
      </c>
      <c r="I6" s="5" t="s">
        <v>13</v>
      </c>
      <c r="J6" s="8" t="s">
        <v>82</v>
      </c>
      <c r="K6" s="5"/>
      <c r="L6" s="5"/>
      <c r="M6" s="4" t="s">
        <v>4</v>
      </c>
      <c r="N6" s="4" t="s">
        <v>97</v>
      </c>
      <c r="O6" s="4"/>
      <c r="P6" s="4"/>
      <c r="Q6" s="4"/>
      <c r="R6" s="4"/>
    </row>
    <row r="7" spans="1:18" ht="32" x14ac:dyDescent="0.2">
      <c r="A7" s="8" t="s">
        <v>55</v>
      </c>
      <c r="B7" s="4">
        <v>1</v>
      </c>
      <c r="C7" s="15" t="s">
        <v>59</v>
      </c>
      <c r="D7" s="4" t="s">
        <v>16</v>
      </c>
      <c r="E7" s="4" t="s">
        <v>17</v>
      </c>
      <c r="F7" s="3" t="s">
        <v>56</v>
      </c>
      <c r="G7" s="4" t="s">
        <v>67</v>
      </c>
      <c r="H7" s="4">
        <v>82</v>
      </c>
      <c r="I7" s="5" t="s">
        <v>12</v>
      </c>
      <c r="J7" s="3" t="s">
        <v>83</v>
      </c>
      <c r="K7" s="5"/>
      <c r="L7" s="5"/>
      <c r="M7" s="4" t="s">
        <v>25</v>
      </c>
      <c r="N7" s="4"/>
      <c r="O7" s="4"/>
      <c r="P7" s="4"/>
      <c r="Q7" s="4">
        <f>IFERROR(
  SUMIFS($L$2:$L$14,$C$2:$C$14,$C7,$O$2:$O$14,"&lt;=25")
  /
  SUMIF($C$2:$C$14,$C7,$L$2:$L$14),0)</f>
        <v>0</v>
      </c>
      <c r="R7" s="4">
        <f>IFERROR(
  SUMIFS($L$2:$L$14,$C$2:$C$14,$C7,$O$2:$O$14,"&gt;=50")
  /
  SUMIF($C$2:$C$14,$C7,$L$2:$L$14),0)</f>
        <v>0</v>
      </c>
    </row>
    <row r="8" spans="1:18" ht="64" x14ac:dyDescent="0.2">
      <c r="A8" s="8" t="s">
        <v>30</v>
      </c>
      <c r="B8" s="4">
        <v>1</v>
      </c>
      <c r="C8" s="12" t="s">
        <v>20</v>
      </c>
      <c r="D8" s="4" t="s">
        <v>16</v>
      </c>
      <c r="E8" s="4" t="s">
        <v>17</v>
      </c>
      <c r="F8" s="8" t="s">
        <v>40</v>
      </c>
      <c r="G8" s="4" t="s">
        <v>68</v>
      </c>
      <c r="H8" s="4">
        <v>508</v>
      </c>
      <c r="I8" s="5" t="s">
        <v>12</v>
      </c>
      <c r="J8" s="8" t="s">
        <v>84</v>
      </c>
      <c r="K8" s="5"/>
      <c r="L8" s="5"/>
      <c r="M8" s="4" t="s">
        <v>4</v>
      </c>
      <c r="N8" s="4" t="s">
        <v>94</v>
      </c>
      <c r="O8" s="4"/>
      <c r="P8" s="4"/>
      <c r="Q8" s="4">
        <f>IFERROR(
  SUMIFS($L$2:$L$14,$C$2:$C$14,$C8,$O$2:$O$14,"&lt;=25")
  /
  SUMIF($C$2:$C$14,$C8,$L$2:$L$14),0)</f>
        <v>0</v>
      </c>
      <c r="R8" s="4">
        <f>IFERROR(
  SUMIFS($L$2:$L$14,$C$2:$C$14,$C8,$O$2:$O$14,"&gt;=50")
  /
  SUMIF($C$2:$C$14,$C8,$L$2:$L$14),0)</f>
        <v>0</v>
      </c>
    </row>
    <row r="9" spans="1:18" ht="16" x14ac:dyDescent="0.2">
      <c r="A9" s="8" t="s">
        <v>31</v>
      </c>
      <c r="B9" s="4">
        <v>1</v>
      </c>
      <c r="C9" s="10" t="s">
        <v>21</v>
      </c>
      <c r="D9" s="4" t="s">
        <v>16</v>
      </c>
      <c r="E9" s="4" t="s">
        <v>17</v>
      </c>
      <c r="F9" s="18" t="s">
        <v>41</v>
      </c>
      <c r="G9" s="4" t="s">
        <v>69</v>
      </c>
      <c r="H9" s="4">
        <v>105</v>
      </c>
      <c r="I9" s="5" t="s">
        <v>13</v>
      </c>
      <c r="J9" s="18" t="s">
        <v>85</v>
      </c>
      <c r="K9" s="5"/>
      <c r="L9" s="5"/>
      <c r="M9" s="4" t="s">
        <v>25</v>
      </c>
      <c r="N9" s="4"/>
      <c r="O9" s="4"/>
      <c r="P9" s="19"/>
      <c r="Q9" s="4">
        <f>IFERROR(
  SUMIFS($L$2:$L$14,$C$2:$C$14,$C9,$O$2:$O$14,"&lt;=25")
  /
  SUMIF($C$2:$C$14,$C9,$L$2:$L$14),0)</f>
        <v>0</v>
      </c>
      <c r="R9" s="4">
        <f>IFERROR(
  SUMIFS($L$2:$L$14,$C$2:$C$14,$C9,$O$2:$O$14,"&gt;=50")
  /
  SUMIF($C$2:$C$14,$C9,$L$2:$L$14),0)</f>
        <v>0</v>
      </c>
    </row>
    <row r="10" spans="1:18" ht="16" x14ac:dyDescent="0.2">
      <c r="A10" s="8" t="s">
        <v>31</v>
      </c>
      <c r="B10" s="4">
        <v>1</v>
      </c>
      <c r="C10" s="10" t="s">
        <v>21</v>
      </c>
      <c r="D10" s="4" t="s">
        <v>16</v>
      </c>
      <c r="E10" s="4" t="s">
        <v>17</v>
      </c>
      <c r="F10" s="14" t="s">
        <v>70</v>
      </c>
      <c r="G10" s="4" t="s">
        <v>71</v>
      </c>
      <c r="H10" s="4">
        <v>189</v>
      </c>
      <c r="I10" s="5" t="s">
        <v>13</v>
      </c>
      <c r="J10" s="14" t="s">
        <v>86</v>
      </c>
      <c r="K10" s="5"/>
      <c r="L10" s="5"/>
      <c r="M10" s="4" t="s">
        <v>25</v>
      </c>
      <c r="N10" s="4"/>
      <c r="O10" s="4"/>
      <c r="P10" s="19"/>
      <c r="Q10" s="4"/>
      <c r="R10" s="4"/>
    </row>
    <row r="11" spans="1:18" ht="16" x14ac:dyDescent="0.2">
      <c r="A11" s="8" t="s">
        <v>32</v>
      </c>
      <c r="B11" s="4">
        <v>1</v>
      </c>
      <c r="C11" s="10" t="s">
        <v>22</v>
      </c>
      <c r="D11" s="4" t="s">
        <v>16</v>
      </c>
      <c r="E11" s="4" t="s">
        <v>17</v>
      </c>
      <c r="F11" s="8" t="s">
        <v>42</v>
      </c>
      <c r="G11" s="4" t="s">
        <v>72</v>
      </c>
      <c r="H11" s="4">
        <v>106</v>
      </c>
      <c r="I11" s="5" t="s">
        <v>12</v>
      </c>
      <c r="J11" s="8" t="s">
        <v>87</v>
      </c>
      <c r="K11" s="5"/>
      <c r="L11" s="5"/>
      <c r="M11" s="4" t="s">
        <v>4</v>
      </c>
      <c r="N11" t="s">
        <v>95</v>
      </c>
      <c r="O11" s="4"/>
      <c r="P11" s="4"/>
      <c r="Q11" s="4">
        <f>IFERROR(
  SUMIFS($L$2:$L$14,$C$2:$C$14,$C11,$O$2:$O$14,"&lt;=25")
  /
  SUMIF($C$2:$C$14,$C11,$L$2:$L$14),0)</f>
        <v>0</v>
      </c>
      <c r="R11" s="4">
        <f>IFERROR(
  SUMIFS($L$2:$L$14,$C$2:$C$14,$C11,$O$2:$O$14,"&gt;=50")
  /
  SUMIF($C$2:$C$14,$C11,$L$2:$L$14),0)</f>
        <v>0</v>
      </c>
    </row>
    <row r="12" spans="1:18" ht="16" x14ac:dyDescent="0.2">
      <c r="A12" s="8" t="s">
        <v>32</v>
      </c>
      <c r="B12" s="4">
        <v>1</v>
      </c>
      <c r="C12" s="10" t="s">
        <v>22</v>
      </c>
      <c r="D12" s="4" t="s">
        <v>16</v>
      </c>
      <c r="E12" s="4" t="s">
        <v>17</v>
      </c>
      <c r="F12" s="8" t="s">
        <v>42</v>
      </c>
      <c r="G12" s="4" t="s">
        <v>72</v>
      </c>
      <c r="H12" s="4">
        <v>107</v>
      </c>
      <c r="I12" s="5" t="s">
        <v>13</v>
      </c>
      <c r="J12" s="8" t="s">
        <v>88</v>
      </c>
      <c r="K12" s="5"/>
      <c r="L12" s="5"/>
      <c r="M12" s="4" t="s">
        <v>4</v>
      </c>
      <c r="N12" t="s">
        <v>95</v>
      </c>
      <c r="O12" s="4"/>
      <c r="P12" s="4"/>
      <c r="Q12" s="4"/>
      <c r="R12" s="4"/>
    </row>
    <row r="13" spans="1:18" ht="16" x14ac:dyDescent="0.2">
      <c r="A13" s="8" t="s">
        <v>33</v>
      </c>
      <c r="B13" s="4">
        <v>1</v>
      </c>
      <c r="C13" s="13" t="s">
        <v>23</v>
      </c>
      <c r="D13" s="4" t="s">
        <v>16</v>
      </c>
      <c r="E13" s="4" t="s">
        <v>17</v>
      </c>
      <c r="F13" s="8" t="s">
        <v>43</v>
      </c>
      <c r="G13" s="4" t="s">
        <v>73</v>
      </c>
      <c r="H13" s="4">
        <v>309</v>
      </c>
      <c r="I13" s="5" t="s">
        <v>13</v>
      </c>
      <c r="J13" s="8" t="s">
        <v>89</v>
      </c>
      <c r="K13" s="5"/>
      <c r="L13" s="5"/>
      <c r="M13" s="4" t="s">
        <v>25</v>
      </c>
      <c r="N13" s="4"/>
      <c r="O13" s="4"/>
      <c r="P13" s="4"/>
      <c r="Q13" s="4">
        <f>IFERROR(
  SUMIFS($L$2:$L$14,$C$2:$C$14,$C13,$O$2:$O$14,"&lt;=25")
  /
  SUMIF($C$2:$C$14,$C13,$L$2:$L$14),0)</f>
        <v>0</v>
      </c>
      <c r="R13" s="4">
        <f>IFERROR(
  SUMIFS($L$2:$L$14,$C$2:$C$14,$C13,$O$2:$O$14,"&gt;=50")
  /
  SUMIF($C$2:$C$14,$C13,$L$2:$L$14),0)</f>
        <v>0</v>
      </c>
    </row>
    <row r="14" spans="1:18" ht="16" x14ac:dyDescent="0.2">
      <c r="A14" s="3" t="s">
        <v>14</v>
      </c>
      <c r="B14" s="4">
        <v>1</v>
      </c>
      <c r="C14" s="13" t="s">
        <v>24</v>
      </c>
      <c r="D14" s="4" t="s">
        <v>16</v>
      </c>
      <c r="E14" s="4" t="s">
        <v>17</v>
      </c>
      <c r="F14" s="8" t="s">
        <v>44</v>
      </c>
      <c r="G14" s="4" t="s">
        <v>74</v>
      </c>
      <c r="H14" s="4">
        <v>223</v>
      </c>
      <c r="I14" s="5" t="s">
        <v>13</v>
      </c>
      <c r="J14" s="8" t="s">
        <v>90</v>
      </c>
      <c r="K14" s="5"/>
      <c r="L14" s="5"/>
      <c r="M14" s="4" t="s">
        <v>25</v>
      </c>
      <c r="N14" s="4"/>
      <c r="O14" s="4"/>
      <c r="P14" s="4"/>
      <c r="Q14" s="4">
        <f>IFERROR(
  SUMIFS($L$2:$L$14,$C$2:$C$14,$C14,$O$2:$O$14,"&lt;=25")
  /
  SUMIF($C$2:$C$14,$C14,$L$2:$L$14),0)</f>
        <v>0</v>
      </c>
      <c r="R14" s="4">
        <f>IFERROR(
  SUMIFS($L$2:$L$14,$C$2:$C$14,$C14,$O$2:$O$14,"&gt;=50")
  /
  SUMIF($C$2:$C$14,$C14,$L$2:$L$14),0)</f>
        <v>0</v>
      </c>
    </row>
    <row r="15" spans="1:18" ht="16" x14ac:dyDescent="0.2">
      <c r="A15" s="8" t="s">
        <v>45</v>
      </c>
      <c r="B15" s="4">
        <v>1</v>
      </c>
      <c r="C15" s="4" t="s">
        <v>60</v>
      </c>
      <c r="D15" s="4" t="s">
        <v>16</v>
      </c>
      <c r="E15" s="4" t="s">
        <v>17</v>
      </c>
      <c r="F15" s="8" t="s">
        <v>46</v>
      </c>
      <c r="G15" s="4" t="s">
        <v>75</v>
      </c>
      <c r="H15" s="4">
        <v>367</v>
      </c>
      <c r="I15" s="5" t="s">
        <v>13</v>
      </c>
      <c r="J15" s="8" t="s">
        <v>91</v>
      </c>
      <c r="K15" s="5"/>
      <c r="L15" s="5"/>
      <c r="M15" s="4" t="s">
        <v>25</v>
      </c>
      <c r="N15" s="4"/>
      <c r="O15" s="4"/>
      <c r="P15" s="4"/>
      <c r="Q15" s="4"/>
      <c r="R15" s="4"/>
    </row>
    <row r="16" spans="1:18" ht="32" x14ac:dyDescent="0.2">
      <c r="A16" s="8" t="s">
        <v>47</v>
      </c>
      <c r="B16" s="4">
        <v>1</v>
      </c>
      <c r="C16" s="4" t="s">
        <v>61</v>
      </c>
      <c r="D16" s="4" t="s">
        <v>16</v>
      </c>
      <c r="E16" s="4" t="s">
        <v>17</v>
      </c>
      <c r="F16" s="8" t="s">
        <v>48</v>
      </c>
      <c r="G16" s="4" t="s">
        <v>76</v>
      </c>
      <c r="H16" s="4">
        <v>71</v>
      </c>
      <c r="I16" s="5" t="s">
        <v>13</v>
      </c>
      <c r="J16" s="8" t="s">
        <v>92</v>
      </c>
      <c r="K16" s="5"/>
      <c r="L16" s="5"/>
      <c r="M16" s="4" t="s">
        <v>4</v>
      </c>
      <c r="N16" s="4" t="s">
        <v>96</v>
      </c>
      <c r="O16" s="4"/>
      <c r="P16" s="4"/>
      <c r="Q16" s="4"/>
      <c r="R16" s="4"/>
    </row>
    <row r="17" spans="1:18" ht="32" x14ac:dyDescent="0.2">
      <c r="A17" s="4" t="s">
        <v>49</v>
      </c>
      <c r="B17" s="4">
        <v>1</v>
      </c>
      <c r="C17" s="4" t="s">
        <v>62</v>
      </c>
      <c r="D17" s="4" t="s">
        <v>16</v>
      </c>
      <c r="E17" s="4" t="s">
        <v>17</v>
      </c>
      <c r="F17" s="8" t="s">
        <v>50</v>
      </c>
      <c r="G17" s="4" t="s">
        <v>77</v>
      </c>
      <c r="H17" s="4">
        <v>503</v>
      </c>
      <c r="I17" s="5" t="s">
        <v>13</v>
      </c>
      <c r="J17" s="8" t="s">
        <v>93</v>
      </c>
      <c r="K17" s="5"/>
      <c r="L17" s="5"/>
      <c r="M17" s="4" t="s">
        <v>25</v>
      </c>
      <c r="N17" s="4"/>
      <c r="O17" s="4"/>
      <c r="P17" s="4"/>
      <c r="Q17" s="4"/>
      <c r="R17" s="4"/>
    </row>
    <row r="18" spans="1:18" x14ac:dyDescent="0.2">
      <c r="A18" s="1"/>
      <c r="B18" s="1"/>
      <c r="C18" s="1"/>
      <c r="D18" s="1"/>
      <c r="E18" s="1"/>
      <c r="F18" s="1"/>
      <c r="G18" s="1"/>
      <c r="H18" s="1"/>
      <c r="I18" s="2"/>
      <c r="J18" s="2"/>
      <c r="K18" s="2"/>
      <c r="L18" s="2"/>
      <c r="M18" s="1"/>
      <c r="N18" s="1"/>
      <c r="O18" s="1"/>
      <c r="P18" s="1"/>
      <c r="Q18" s="1"/>
      <c r="R18" s="1"/>
    </row>
    <row r="19" spans="1:18" x14ac:dyDescent="0.2">
      <c r="A19" s="1"/>
      <c r="B19" s="1"/>
      <c r="C19" s="1"/>
      <c r="D19" s="1"/>
      <c r="E19" s="1"/>
      <c r="F19" s="1"/>
      <c r="G19" s="1"/>
      <c r="H19" s="1"/>
      <c r="I19" s="2"/>
      <c r="J19" s="2"/>
      <c r="K19" s="2"/>
      <c r="L19" s="2"/>
      <c r="M19" s="1"/>
      <c r="N19" s="1"/>
      <c r="O19" s="1"/>
      <c r="P19" s="1"/>
      <c r="Q19" s="1"/>
      <c r="R19" s="1"/>
    </row>
    <row r="20" spans="1:18" x14ac:dyDescent="0.2">
      <c r="A20" s="1"/>
      <c r="B20" s="1"/>
      <c r="C20" s="1"/>
      <c r="D20" s="1"/>
      <c r="E20" s="1"/>
      <c r="F20" s="1"/>
      <c r="G20" s="1"/>
      <c r="H20" s="1"/>
      <c r="I20" s="2"/>
      <c r="J20" s="2"/>
      <c r="K20" s="2"/>
      <c r="L20" s="2"/>
      <c r="M20" s="1"/>
      <c r="N20" s="1"/>
      <c r="O20" s="1"/>
      <c r="P20" s="1"/>
      <c r="Q20" s="1"/>
      <c r="R20" s="1"/>
    </row>
    <row r="21" spans="1:18" x14ac:dyDescent="0.2">
      <c r="A21" s="1"/>
      <c r="B21" s="1"/>
      <c r="C21" s="1"/>
      <c r="D21" s="1"/>
      <c r="E21" s="1"/>
      <c r="F21" s="1"/>
      <c r="G21" s="1"/>
      <c r="H21" s="1"/>
      <c r="I21" s="2"/>
      <c r="J21" s="2"/>
      <c r="K21" s="2"/>
      <c r="L21" s="2"/>
      <c r="M21" s="1"/>
      <c r="N21" s="1"/>
      <c r="O21" s="1"/>
      <c r="P21" s="1"/>
      <c r="Q21" s="1"/>
      <c r="R21" s="1"/>
    </row>
    <row r="22" spans="1:18" x14ac:dyDescent="0.2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1"/>
      <c r="N22" s="1"/>
      <c r="O22" s="1"/>
      <c r="P22" s="1"/>
      <c r="Q22" s="1"/>
      <c r="R22" s="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1"/>
      <c r="N23" s="1"/>
      <c r="O23" s="1"/>
      <c r="P23" s="1"/>
      <c r="Q23" s="1"/>
      <c r="R23" s="1"/>
    </row>
  </sheetData>
  <phoneticPr fontId="2" type="noConversion"/>
  <conditionalFormatting sqref="A2:F2 G2:I14 F5:F8 F11:F14">
    <cfRule type="expression" dxfId="7" priority="7">
      <formula>$M2="bad"</formula>
    </cfRule>
  </conditionalFormatting>
  <conditionalFormatting sqref="B3:C3 O3:R8 K3:N4 D3:E17 A4:C6 A7:B7 B8 O9:O10 A9:B14 Q9:R14 K11:M12 O11:P14 K13:N14 A15:C17 F15:R17 A18:R23 A2:E2 G2:G14 I2:I14 K2:R2 K7:N10 K5:L6">
    <cfRule type="expression" dxfId="6" priority="18">
      <formula>#REF!="done"</formula>
    </cfRule>
  </conditionalFormatting>
  <conditionalFormatting sqref="B3:C3 O3:R8 K3:N4 D3:E17 A4:C6 A7:B7 B8 O9:O10 A9:B14 Q9:R14 K11:M12 O11:P14 K13:N14 A15:C17 F15:R17 A18:R23 K7:N10 K5:L6">
    <cfRule type="expression" dxfId="5" priority="17">
      <formula>$M3="bad"</formula>
    </cfRule>
  </conditionalFormatting>
  <conditionalFormatting sqref="F2 H2:H14 F5:F8 F11:F14">
    <cfRule type="expression" dxfId="4" priority="8">
      <formula>$O2="done"</formula>
    </cfRule>
  </conditionalFormatting>
  <conditionalFormatting sqref="J2 J5:J8 J11:J14">
    <cfRule type="expression" dxfId="3" priority="4">
      <formula>$O2="done"</formula>
    </cfRule>
  </conditionalFormatting>
  <conditionalFormatting sqref="J2:R2 J5:J8 J11:J14">
    <cfRule type="expression" dxfId="2" priority="3">
      <formula>$M2="bad"</formula>
    </cfRule>
  </conditionalFormatting>
  <conditionalFormatting sqref="M5:N6">
    <cfRule type="expression" dxfId="1" priority="2">
      <formula>#REF!="done"</formula>
    </cfRule>
  </conditionalFormatting>
  <conditionalFormatting sqref="M5:N6">
    <cfRule type="expression" dxfId="0" priority="1">
      <formula>$M5="bad"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Evgeniia Vdovichenko - evgeniia.vdovichenko@studio.uni</cp:lastModifiedBy>
  <dcterms:created xsi:type="dcterms:W3CDTF">2025-12-23T11:13:20Z</dcterms:created>
  <dcterms:modified xsi:type="dcterms:W3CDTF">2026-01-03T21:04:32Z</dcterms:modified>
</cp:coreProperties>
</file>