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E3E68F8B-2C9B-914A-987A-FA46C2456457}" xr6:coauthVersionLast="47" xr6:coauthVersionMax="47" xr10:uidLastSave="{00000000-0000-0000-0000-000000000000}"/>
  <bookViews>
    <workbookView xWindow="6480" yWindow="7920" windowWidth="25600" windowHeight="18440" xr2:uid="{00000000-000D-0000-FFFF-FFFF00000000}"/>
  </bookViews>
  <sheets>
    <sheet name="eval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R3" i="1"/>
  <c r="R4" i="1"/>
  <c r="R5" i="1"/>
  <c r="Q3" i="1"/>
  <c r="Q4" i="1"/>
  <c r="Q5" i="1"/>
</calcChain>
</file>

<file path=xl/sharedStrings.xml><?xml version="1.0" encoding="utf-8"?>
<sst xmlns="http://schemas.openxmlformats.org/spreadsheetml/2006/main" count="60" uniqueCount="49">
  <si>
    <t>image_filename</t>
  </si>
  <si>
    <t>page_no</t>
  </si>
  <si>
    <t>lines_selected</t>
  </si>
  <si>
    <t>major_issues</t>
  </si>
  <si>
    <t>ok</t>
  </si>
  <si>
    <t>collector_ids</t>
  </si>
  <si>
    <t>collector_count</t>
  </si>
  <si>
    <t>handwriting_id</t>
  </si>
  <si>
    <t>handwriting_status (unknown/assigned)</t>
  </si>
  <si>
    <t>handwriting_confidence (low | medium | high)</t>
  </si>
  <si>
    <t>tale_id</t>
  </si>
  <si>
    <t>page_side</t>
  </si>
  <si>
    <t>R</t>
  </si>
  <si>
    <t>quality_hint (good|ok|bad)</t>
  </si>
  <si>
    <t>assigned</t>
  </si>
  <si>
    <t>high</t>
  </si>
  <si>
    <t>H03</t>
  </si>
  <si>
    <t>H07</t>
  </si>
  <si>
    <t>H08</t>
  </si>
  <si>
    <t>H09</t>
  </si>
  <si>
    <t>good</t>
  </si>
  <si>
    <t>lines_count</t>
  </si>
  <si>
    <t>page_id</t>
  </si>
  <si>
    <t>Sokolov M.</t>
  </si>
  <si>
    <t>Gromova Olga</t>
  </si>
  <si>
    <t>Zhemchuzhina Zoya</t>
  </si>
  <si>
    <t>Brandt Olga</t>
  </si>
  <si>
    <t>CER</t>
  </si>
  <si>
    <t>WER</t>
  </si>
  <si>
    <t>p_CER_le_25_weighted</t>
  </si>
  <si>
    <t>p_CER_ge_50_weighted</t>
  </si>
  <si>
    <t>Ink is faded in some areas</t>
  </si>
  <si>
    <t>era_vene_6_421_9</t>
  </si>
  <si>
    <t>era_vene_12_440_19</t>
  </si>
  <si>
    <t>era_vene_13_137_16</t>
  </si>
  <si>
    <t>era_vene_15_433_1</t>
  </si>
  <si>
    <t>era_vene_06_420-421.jpg</t>
  </si>
  <si>
    <t>era_vene_12_440-441.jpg</t>
  </si>
  <si>
    <t>era_vene_13_136-137.jpg</t>
  </si>
  <si>
    <t>era_vene_15_432-433.jpg</t>
  </si>
  <si>
    <t>era_vene_6_421</t>
  </si>
  <si>
    <t>era_vene_12_441</t>
  </si>
  <si>
    <t>era_vene_13_137</t>
  </si>
  <si>
    <t>era_vene_15_433</t>
  </si>
  <si>
    <t>lines are tightly packed</t>
  </si>
  <si>
    <t>CER_model_1</t>
  </si>
  <si>
    <t>WER_model_1</t>
  </si>
  <si>
    <t>CER_model_2</t>
  </si>
  <si>
    <t>WER_model_2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</si>
</sst>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Noto San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F1" zoomScale="140" zoomScaleNormal="140" workbookViewId="0">
      <selection activeCell="M2" sqref="M2:N2"/>
    </sheetView>
  </sheetViews>
  <sheetFormatPr baseColWidth="10" defaultColWidth="8.83203125" defaultRowHeight="15" x14ac:dyDescent="0.2"/>
  <cols>
    <col min="1" max="1" width="18" hidden="1" customWidth="1"/>
    <col min="2" max="2" width="18.1640625" hidden="1" customWidth="1"/>
    <col min="3" max="5" width="18" hidden="1" customWidth="1"/>
    <col min="6" max="6" width="20" customWidth="1"/>
    <col min="7" max="7" width="24" customWidth="1"/>
    <col min="8" max="8" width="11.83203125" customWidth="1"/>
    <col min="9" max="9" width="10" customWidth="1"/>
    <col min="10" max="10" width="17.5" customWidth="1"/>
    <col min="11" max="11" width="12" customWidth="1"/>
    <col min="12" max="12" width="13" customWidth="1"/>
    <col min="13" max="13" width="12" customWidth="1"/>
    <col min="14" max="14" width="22" customWidth="1"/>
    <col min="15" max="22" width="14" customWidth="1"/>
  </cols>
  <sheetData>
    <row r="1" spans="1:22" ht="47" customHeight="1" x14ac:dyDescent="0.2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0</v>
      </c>
      <c r="H1" s="6" t="s">
        <v>1</v>
      </c>
      <c r="I1" s="6" t="s">
        <v>11</v>
      </c>
      <c r="J1" s="6" t="s">
        <v>22</v>
      </c>
      <c r="K1" s="6" t="s">
        <v>21</v>
      </c>
      <c r="L1" s="6" t="s">
        <v>2</v>
      </c>
      <c r="M1" s="6" t="s">
        <v>13</v>
      </c>
      <c r="N1" s="6" t="s">
        <v>3</v>
      </c>
      <c r="O1" s="12" t="s">
        <v>27</v>
      </c>
      <c r="P1" s="13" t="s">
        <v>28</v>
      </c>
      <c r="Q1" s="12" t="s">
        <v>29</v>
      </c>
      <c r="R1" s="12" t="s">
        <v>30</v>
      </c>
      <c r="S1" s="12" t="s">
        <v>45</v>
      </c>
      <c r="T1" s="13" t="s">
        <v>46</v>
      </c>
      <c r="U1" s="16" t="s">
        <v>47</v>
      </c>
      <c r="V1" s="16" t="s">
        <v>48</v>
      </c>
    </row>
    <row r="2" spans="1:22" ht="16" x14ac:dyDescent="0.2">
      <c r="A2" s="7" t="s">
        <v>23</v>
      </c>
      <c r="B2" s="3">
        <v>1</v>
      </c>
      <c r="C2" s="9" t="s">
        <v>16</v>
      </c>
      <c r="D2" s="3" t="s">
        <v>14</v>
      </c>
      <c r="E2" s="3" t="s">
        <v>15</v>
      </c>
      <c r="F2" s="11" t="s">
        <v>32</v>
      </c>
      <c r="G2" s="3" t="s">
        <v>36</v>
      </c>
      <c r="H2" s="3">
        <v>421</v>
      </c>
      <c r="I2" s="4" t="s">
        <v>12</v>
      </c>
      <c r="J2" s="11" t="s">
        <v>40</v>
      </c>
      <c r="K2" s="4">
        <v>18</v>
      </c>
      <c r="L2" s="4">
        <v>17</v>
      </c>
      <c r="M2" s="3" t="s">
        <v>4</v>
      </c>
      <c r="N2" s="3" t="s">
        <v>44</v>
      </c>
      <c r="O2" s="3">
        <v>8.9600000000000009</v>
      </c>
      <c r="P2" s="3">
        <v>0.29359999999999897</v>
      </c>
      <c r="Q2" s="3">
        <f>IFERROR(
  SUMIFS($L$2:$L$5,$C$2:$C$5,$C2,$O$2:$O$5,"&lt;=25")
  /
  SUMIF($C$2:$C$5,$C2,$L$2:$L$5),0)</f>
        <v>1</v>
      </c>
      <c r="R2" s="3">
        <f>IFERROR(
  SUMIFS($L$2:$L$5,$C$2:$C$5,$C2,$O$2:$O$5,"&gt;=50")
  /
  SUMIF($C$2:$C$5,$C2,$L$2:$L$5),0)</f>
        <v>0</v>
      </c>
      <c r="S2" s="9">
        <v>13.54</v>
      </c>
      <c r="T2" s="15">
        <v>0.4128</v>
      </c>
      <c r="U2" s="9">
        <v>12.92</v>
      </c>
      <c r="V2" s="3">
        <v>0.39450000000000002</v>
      </c>
    </row>
    <row r="3" spans="1:22" ht="16" x14ac:dyDescent="0.2">
      <c r="A3" s="7" t="s">
        <v>24</v>
      </c>
      <c r="B3" s="3">
        <v>1</v>
      </c>
      <c r="C3" s="8" t="s">
        <v>17</v>
      </c>
      <c r="D3" s="3" t="s">
        <v>14</v>
      </c>
      <c r="E3" s="3" t="s">
        <v>15</v>
      </c>
      <c r="F3" s="11" t="s">
        <v>33</v>
      </c>
      <c r="G3" s="3" t="s">
        <v>37</v>
      </c>
      <c r="H3" s="3">
        <v>441</v>
      </c>
      <c r="I3" s="4" t="s">
        <v>12</v>
      </c>
      <c r="J3" s="11" t="s">
        <v>41</v>
      </c>
      <c r="K3" s="4">
        <v>18</v>
      </c>
      <c r="L3" s="4">
        <v>10</v>
      </c>
      <c r="M3" s="3" t="s">
        <v>20</v>
      </c>
      <c r="N3" s="3"/>
      <c r="O3" s="3">
        <v>4.37</v>
      </c>
      <c r="P3" s="14">
        <v>0.1273</v>
      </c>
      <c r="Q3" s="3">
        <f>IFERROR(
  SUMIFS($L$2:$L$5,$C$2:$C$5,$C3,$O$2:$O$5,"&lt;=25")
  /
  SUMIF($C$2:$C$5,$C3,$L$2:$L$5),0)</f>
        <v>1</v>
      </c>
      <c r="R3" s="3">
        <f>IFERROR(
  SUMIFS($L$2:$L$5,$C$2:$C$5,$C3,$O$2:$O$5,"&gt;=50")
  /
  SUMIF($C$2:$C$5,$C3,$L$2:$L$5),0)</f>
        <v>0</v>
      </c>
      <c r="S3" s="9">
        <v>7.54</v>
      </c>
      <c r="T3" s="15">
        <v>0.2545</v>
      </c>
      <c r="U3" s="9">
        <v>6.35</v>
      </c>
      <c r="V3" s="3">
        <v>0.21820000000000001</v>
      </c>
    </row>
    <row r="4" spans="1:22" ht="16" x14ac:dyDescent="0.2">
      <c r="A4" s="7" t="s">
        <v>25</v>
      </c>
      <c r="B4" s="3">
        <v>1</v>
      </c>
      <c r="C4" s="8" t="s">
        <v>18</v>
      </c>
      <c r="D4" s="3" t="s">
        <v>14</v>
      </c>
      <c r="E4" s="3" t="s">
        <v>15</v>
      </c>
      <c r="F4" s="11" t="s">
        <v>34</v>
      </c>
      <c r="G4" s="3" t="s">
        <v>38</v>
      </c>
      <c r="H4" s="3">
        <v>137</v>
      </c>
      <c r="I4" s="4" t="s">
        <v>12</v>
      </c>
      <c r="J4" s="11" t="s">
        <v>42</v>
      </c>
      <c r="K4" s="4">
        <v>20</v>
      </c>
      <c r="L4" s="4">
        <v>18</v>
      </c>
      <c r="M4" s="3" t="s">
        <v>4</v>
      </c>
      <c r="N4" t="s">
        <v>31</v>
      </c>
      <c r="O4" s="3">
        <v>10.93</v>
      </c>
      <c r="P4" s="3">
        <v>0.3306</v>
      </c>
      <c r="Q4" s="3">
        <f>IFERROR(
  SUMIFS($L$2:$L$5,$C$2:$C$5,$C4,$O$2:$O$5,"&lt;=25")
  /
  SUMIF($C$2:$C$5,$C4,$L$2:$L$5),0)</f>
        <v>1</v>
      </c>
      <c r="R4" s="3">
        <f>IFERROR(
  SUMIFS($L$2:$L$5,$C$2:$C$5,$C4,$O$2:$O$5,"&gt;=50")
  /
  SUMIF($C$2:$C$5,$C4,$L$2:$L$5),0)</f>
        <v>0</v>
      </c>
      <c r="S4" s="9">
        <v>11.13</v>
      </c>
      <c r="T4" s="15">
        <v>0.36359999999999998</v>
      </c>
      <c r="U4" s="17">
        <v>10.32</v>
      </c>
      <c r="V4" s="3">
        <v>0.3306</v>
      </c>
    </row>
    <row r="5" spans="1:22" ht="16" x14ac:dyDescent="0.2">
      <c r="A5" s="7" t="s">
        <v>26</v>
      </c>
      <c r="B5" s="3">
        <v>1</v>
      </c>
      <c r="C5" s="10" t="s">
        <v>19</v>
      </c>
      <c r="D5" s="3" t="s">
        <v>14</v>
      </c>
      <c r="E5" s="3" t="s">
        <v>15</v>
      </c>
      <c r="F5" s="11" t="s">
        <v>35</v>
      </c>
      <c r="G5" s="3" t="s">
        <v>39</v>
      </c>
      <c r="H5" s="3">
        <v>433</v>
      </c>
      <c r="I5" s="4" t="s">
        <v>12</v>
      </c>
      <c r="J5" s="11" t="s">
        <v>43</v>
      </c>
      <c r="K5" s="4">
        <v>17</v>
      </c>
      <c r="L5" s="4">
        <v>10</v>
      </c>
      <c r="M5" s="3" t="s">
        <v>20</v>
      </c>
      <c r="N5" s="3"/>
      <c r="O5" s="3">
        <v>11.24</v>
      </c>
      <c r="P5" s="3">
        <v>0.34179999999999999</v>
      </c>
      <c r="Q5" s="3">
        <f>IFERROR(
  SUMIFS($L$2:$L$5,$C$2:$C$5,$C5,$O$2:$O$5,"&lt;=25")
  /
  SUMIF($C$2:$C$5,$C5,$L$2:$L$5),0)</f>
        <v>1</v>
      </c>
      <c r="R5" s="3">
        <f>IFERROR(
  SUMIFS($L$2:$L$5,$C$2:$C$5,$C5,$O$2:$O$5,"&gt;=50")
  /
  SUMIF($C$2:$C$5,$C5,$L$2:$L$5),0)</f>
        <v>0</v>
      </c>
      <c r="S5" s="9">
        <v>12.43</v>
      </c>
      <c r="T5" s="15">
        <v>0.40509999999999902</v>
      </c>
      <c r="U5" s="9">
        <v>11.54</v>
      </c>
      <c r="V5" s="3">
        <v>0.36709999999999998</v>
      </c>
    </row>
    <row r="6" spans="1:22" x14ac:dyDescent="0.2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">
      <c r="A10" s="1"/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">
      <c r="A11" s="1"/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</row>
  </sheetData>
  <phoneticPr fontId="2" type="noConversion"/>
  <conditionalFormatting sqref="A2:C2 O2:V2 K2:N3 D2:E5 O3 A3:B5 Q3:V5 K4:M4 O4:P5 K5:N5 A6:V11 G2:G5 I2:I5">
    <cfRule type="expression" dxfId="3" priority="16">
      <formula>#REF!="done"</formula>
    </cfRule>
  </conditionalFormatting>
  <conditionalFormatting sqref="A2:C2 O2:V2 K2:N3 D2:E5 O3 A3:B5 Q3:V5 K4:M4 O4:P5 K5:N5 A6:V11">
    <cfRule type="expression" dxfId="2" priority="15">
      <formula>$M2="bad"</formula>
    </cfRule>
  </conditionalFormatting>
  <conditionalFormatting sqref="F2 J2 G2:I5 F4:F5 J4:J5">
    <cfRule type="expression" dxfId="1" priority="5">
      <formula>$M2="bad"</formula>
    </cfRule>
  </conditionalFormatting>
  <conditionalFormatting sqref="F2 J2 H2:H5 F4:F5 J4:J5">
    <cfRule type="expression" dxfId="0" priority="6">
      <formula>$O2="done"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Evgeniia Vdovichenko - evgeniia.vdovichenko@studio.uni</cp:lastModifiedBy>
  <dcterms:created xsi:type="dcterms:W3CDTF">2025-12-23T11:13:20Z</dcterms:created>
  <dcterms:modified xsi:type="dcterms:W3CDTF">2026-01-03T21:04:37Z</dcterms:modified>
</cp:coreProperties>
</file>